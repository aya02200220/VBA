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aya.ishimura\Desktop\新しいフォルダー (2)\"/>
    </mc:Choice>
  </mc:AlternateContent>
  <bookViews>
    <workbookView xWindow="0" yWindow="0" windowWidth="23040" windowHeight="9096" activeTab="3"/>
  </bookViews>
  <sheets>
    <sheet name="フォーマット" sheetId="2" r:id="rId1"/>
    <sheet name="ピボット用データ" sheetId="3" r:id="rId2"/>
    <sheet name="ピボット" sheetId="4" r:id="rId3"/>
    <sheet name="ピボット貼付" sheetId="5" r:id="rId4"/>
    <sheet name="0828" sheetId="6" r:id="rId5"/>
  </sheets>
  <externalReferences>
    <externalReference r:id="rId6"/>
  </externalReferences>
  <definedNames>
    <definedName name="_xlnm._FilterDatabase" localSheetId="4" hidden="1">'0828'!$A$3:$K$3</definedName>
    <definedName name="_xlnm._FilterDatabase" localSheetId="3" hidden="1">ピボット貼付!$A$1:$I$112</definedName>
    <definedName name="_xlnm._FilterDatabase" localSheetId="1" hidden="1">ピボット用データ!$A$4:$AB$53</definedName>
    <definedName name="_xlnm._FilterDatabase" localSheetId="0" hidden="1">フォーマット!$A$3:$K$3</definedName>
    <definedName name="_xlnm.Print_Area" localSheetId="4">'0828'!$B$2:$J$81</definedName>
    <definedName name="_xlnm.Print_Area" localSheetId="1">ピボット用データ!$A$1:$T$53</definedName>
    <definedName name="_xlnm.Print_Area" localSheetId="0">フォーマット!$B$2:$J$81</definedName>
    <definedName name="_xlnm.Print_Titles" localSheetId="4">'0828'!$2:$3</definedName>
    <definedName name="_xlnm.Print_Titles" localSheetId="1">ピボット用データ!$2:$4</definedName>
    <definedName name="_xlnm.Print_Titles" localSheetId="0">フォーマット!$2:$3</definedName>
    <definedName name="シート名" localSheetId="3">ピボット貼付!$I$3</definedName>
    <definedName name="日付" localSheetId="3">ピボット貼付!$E$1</definedName>
    <definedName name="日付" localSheetId="1">[1]ピボット貼付!$E$1</definedName>
  </definedNames>
  <calcPr calcId="162913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2" i="5" l="1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I3" i="5"/>
  <c r="I2" i="5"/>
  <c r="I1" i="5"/>
</calcChain>
</file>

<file path=xl/sharedStrings.xml><?xml version="1.0" encoding="utf-8"?>
<sst xmlns="http://schemas.openxmlformats.org/spreadsheetml/2006/main" count="1233" uniqueCount="362">
  <si>
    <t>Venue</t>
    <phoneticPr fontId="2"/>
  </si>
  <si>
    <t>Sports/
Discipline</t>
    <phoneticPr fontId="2"/>
  </si>
  <si>
    <r>
      <rPr>
        <b/>
        <sz val="10"/>
        <color theme="1"/>
        <rFont val="HGPｺﾞｼｯｸE"/>
        <family val="3"/>
        <charset val="128"/>
      </rPr>
      <t>OF</t>
    </r>
    <r>
      <rPr>
        <b/>
        <sz val="8"/>
        <color theme="1"/>
        <rFont val="HGPｺﾞｼｯｸE"/>
        <family val="3"/>
        <charset val="128"/>
      </rPr>
      <t xml:space="preserve">
</t>
    </r>
    <r>
      <rPr>
        <b/>
        <sz val="10"/>
        <color theme="1"/>
        <rFont val="HGPｺﾞｼｯｸE"/>
        <family val="3"/>
        <charset val="128"/>
      </rPr>
      <t>Number
 of people</t>
    </r>
    <phoneticPr fontId="2"/>
  </si>
  <si>
    <t>T3 Number of vehicles</t>
    <phoneticPr fontId="2"/>
  </si>
  <si>
    <t>※T3利用者数=OF数ーP1/P2駐車台数で算出</t>
    <rPh sb="22" eb="24">
      <t>サンシュツ</t>
    </rPh>
    <phoneticPr fontId="2"/>
  </si>
  <si>
    <t>T3 Load Zone</t>
    <phoneticPr fontId="2"/>
  </si>
  <si>
    <t>T3 Staging Area</t>
    <phoneticPr fontId="2"/>
  </si>
  <si>
    <t>Venue1</t>
    <phoneticPr fontId="2"/>
  </si>
  <si>
    <t>Venue2</t>
    <phoneticPr fontId="2"/>
  </si>
  <si>
    <t>Venue3</t>
    <phoneticPr fontId="2"/>
  </si>
  <si>
    <t>Venue４</t>
    <phoneticPr fontId="2"/>
  </si>
  <si>
    <t>Sports/Discipline</t>
    <phoneticPr fontId="2"/>
  </si>
  <si>
    <t>競技名</t>
    <rPh sb="0" eb="2">
      <t>キョウギ</t>
    </rPh>
    <rPh sb="2" eb="3">
      <t>メイ</t>
    </rPh>
    <phoneticPr fontId="2"/>
  </si>
  <si>
    <t>Note</t>
    <phoneticPr fontId="2"/>
  </si>
  <si>
    <t>25 Aug
Wed</t>
    <phoneticPr fontId="2"/>
  </si>
  <si>
    <t>26 Aug
Thu</t>
    <phoneticPr fontId="2"/>
  </si>
  <si>
    <t>27 Aug
Fri</t>
    <phoneticPr fontId="2"/>
  </si>
  <si>
    <t>28 Aug
Sat</t>
    <phoneticPr fontId="2"/>
  </si>
  <si>
    <t>29 Aug
Sun</t>
    <phoneticPr fontId="2"/>
  </si>
  <si>
    <t>30 Aug
Mon</t>
    <phoneticPr fontId="2"/>
  </si>
  <si>
    <t>31 Aug
Tue</t>
    <phoneticPr fontId="2"/>
  </si>
  <si>
    <t>1 Sep
Wed</t>
    <phoneticPr fontId="2"/>
  </si>
  <si>
    <t>2 Sep
Thu</t>
    <phoneticPr fontId="2"/>
  </si>
  <si>
    <t>3 Sep
Fri</t>
    <phoneticPr fontId="2"/>
  </si>
  <si>
    <t>4 Sep
Sat</t>
    <phoneticPr fontId="2"/>
  </si>
  <si>
    <t>5 Sep
Sun</t>
    <phoneticPr fontId="2"/>
  </si>
  <si>
    <t>No</t>
    <phoneticPr fontId="2"/>
  </si>
  <si>
    <t>ES Version</t>
    <phoneticPr fontId="2"/>
  </si>
  <si>
    <t>Olympic Stadium</t>
    <phoneticPr fontId="2"/>
  </si>
  <si>
    <t>OLS</t>
  </si>
  <si>
    <t>オリンピックスタジアム</t>
  </si>
  <si>
    <t>Opening and Closing Ceremonies</t>
  </si>
  <si>
    <t>開閉式</t>
    <rPh sb="0" eb="2">
      <t>カイヘイ</t>
    </rPh>
    <rPh sb="2" eb="3">
      <t>シキ</t>
    </rPh>
    <phoneticPr fontId="2"/>
  </si>
  <si>
    <t>20:00 - 22:30</t>
    <phoneticPr fontId="2"/>
  </si>
  <si>
    <t>Athletics</t>
    <phoneticPr fontId="2"/>
  </si>
  <si>
    <t>陸上競技</t>
  </si>
  <si>
    <t>09:30 - 12:50</t>
    <phoneticPr fontId="2"/>
  </si>
  <si>
    <r>
      <t>09:30 - 13:00</t>
    </r>
    <r>
      <rPr>
        <sz val="11"/>
        <color theme="1"/>
        <rFont val="游ゴシック"/>
        <family val="2"/>
        <charset val="128"/>
        <scheme val="minor"/>
      </rPr>
      <t/>
    </r>
  </si>
  <si>
    <t>09:30 - 12:45</t>
    <phoneticPr fontId="2"/>
  </si>
  <si>
    <t>09:30 - 12:40</t>
    <phoneticPr fontId="2"/>
  </si>
  <si>
    <t>09:30 - 12:55</t>
    <phoneticPr fontId="2"/>
  </si>
  <si>
    <t>Olympic Stadium</t>
  </si>
  <si>
    <t>19:00 - 22:00</t>
    <phoneticPr fontId="2"/>
  </si>
  <si>
    <t>19:00 - 22:05</t>
    <phoneticPr fontId="2"/>
  </si>
  <si>
    <t>19:00 - 21:50</t>
    <phoneticPr fontId="2"/>
  </si>
  <si>
    <t>19:00 - 21:55</t>
    <phoneticPr fontId="2"/>
  </si>
  <si>
    <t>v2.02</t>
    <phoneticPr fontId="2"/>
  </si>
  <si>
    <t>マラソン</t>
    <phoneticPr fontId="2"/>
  </si>
  <si>
    <t>06:30 - 11:30</t>
    <phoneticPr fontId="2"/>
  </si>
  <si>
    <t>Tokyo Metropolitan Gymnasium</t>
    <phoneticPr fontId="2"/>
  </si>
  <si>
    <t>TGY</t>
  </si>
  <si>
    <t>Tokyo Metropolitan Gymnasium</t>
  </si>
  <si>
    <t>東京体育館</t>
  </si>
  <si>
    <t>Table Tennis</t>
  </si>
  <si>
    <t>卓球</t>
  </si>
  <si>
    <t>09:00 - 14:20</t>
    <phoneticPr fontId="2"/>
  </si>
  <si>
    <t>09:00 - 15:00</t>
    <phoneticPr fontId="2"/>
  </si>
  <si>
    <t>10:00 - 14:00</t>
    <phoneticPr fontId="2"/>
  </si>
  <si>
    <t>10:00 - 14:30</t>
  </si>
  <si>
    <t>10:00 - 16:00</t>
  </si>
  <si>
    <t>10:00 - 15:30</t>
    <phoneticPr fontId="2"/>
  </si>
  <si>
    <r>
      <t xml:space="preserve">16:00 - </t>
    </r>
    <r>
      <rPr>
        <sz val="26"/>
        <color rgb="FFFF0000"/>
        <rFont val="Meiryo UI"/>
        <family val="3"/>
        <charset val="128"/>
      </rPr>
      <t>21:20</t>
    </r>
    <phoneticPr fontId="2"/>
  </si>
  <si>
    <t>16:00 - 22:00</t>
  </si>
  <si>
    <t>16:00 - 22:00</t>
    <phoneticPr fontId="2"/>
  </si>
  <si>
    <t>16:30 - 21:30</t>
    <phoneticPr fontId="2"/>
  </si>
  <si>
    <t>16:00 - 20:00</t>
    <phoneticPr fontId="2"/>
  </si>
  <si>
    <t>16:30 - 21:00</t>
  </si>
  <si>
    <t>17:30 - 21:30</t>
  </si>
  <si>
    <t>17:00 - 21:00</t>
    <phoneticPr fontId="2"/>
  </si>
  <si>
    <t>v2.03</t>
    <phoneticPr fontId="2"/>
  </si>
  <si>
    <t>Yoyogi National Stadium</t>
    <phoneticPr fontId="2"/>
  </si>
  <si>
    <t>YNS</t>
  </si>
  <si>
    <t>Yoyogi National Stadium</t>
  </si>
  <si>
    <t>国立代々木競技場</t>
  </si>
  <si>
    <t>Badminton</t>
    <phoneticPr fontId="2"/>
  </si>
  <si>
    <t>バドミントン</t>
    <phoneticPr fontId="2"/>
  </si>
  <si>
    <t>18:00 - 22:00</t>
    <phoneticPr fontId="2"/>
  </si>
  <si>
    <t>09:00 - 21:00</t>
    <phoneticPr fontId="2"/>
  </si>
  <si>
    <t>09:00 - 14:00</t>
    <phoneticPr fontId="2"/>
  </si>
  <si>
    <t>v2.00</t>
    <phoneticPr fontId="2"/>
  </si>
  <si>
    <t>Wheelchair Rugby</t>
    <phoneticPr fontId="2"/>
  </si>
  <si>
    <t>車いすラグビー</t>
    <rPh sb="0" eb="1">
      <t>クルマ</t>
    </rPh>
    <phoneticPr fontId="2"/>
  </si>
  <si>
    <t>11:30 - 15:45</t>
    <phoneticPr fontId="2"/>
  </si>
  <si>
    <t>11:30 - 16:00</t>
    <phoneticPr fontId="2"/>
  </si>
  <si>
    <t>14:00 - 16:00</t>
    <phoneticPr fontId="2"/>
  </si>
  <si>
    <t>17:30 - 21:45</t>
    <phoneticPr fontId="2"/>
  </si>
  <si>
    <t>18:00 - 20:15</t>
    <phoneticPr fontId="2"/>
  </si>
  <si>
    <t>Nippon Budokan</t>
    <phoneticPr fontId="2"/>
  </si>
  <si>
    <t>NBK</t>
  </si>
  <si>
    <t>Nippon Budokan</t>
  </si>
  <si>
    <t>日本武道館</t>
  </si>
  <si>
    <t>Judo</t>
    <phoneticPr fontId="2"/>
  </si>
  <si>
    <t>柔道</t>
  </si>
  <si>
    <t>10:30 - 13:30</t>
  </si>
  <si>
    <t>10:30 -14:00</t>
    <phoneticPr fontId="2"/>
  </si>
  <si>
    <t>16:00 - 18:40</t>
    <phoneticPr fontId="2"/>
  </si>
  <si>
    <t>16:30 - 19:50</t>
    <phoneticPr fontId="2"/>
  </si>
  <si>
    <t>Tokyo International Forum</t>
    <phoneticPr fontId="2"/>
  </si>
  <si>
    <t>TIF</t>
  </si>
  <si>
    <t>Tokyo International Forum</t>
  </si>
  <si>
    <t>東京国際フォーラム</t>
  </si>
  <si>
    <t>Powerlifting</t>
    <phoneticPr fontId="2"/>
  </si>
  <si>
    <t>パワーリフティング</t>
    <phoneticPr fontId="2"/>
  </si>
  <si>
    <t>11:00 - 14:20</t>
    <phoneticPr fontId="2"/>
  </si>
  <si>
    <r>
      <t xml:space="preserve">11:00 - </t>
    </r>
    <r>
      <rPr>
        <sz val="26"/>
        <color rgb="FFFF0000"/>
        <rFont val="Meiryo UI"/>
        <family val="3"/>
        <charset val="128"/>
      </rPr>
      <t>14:15</t>
    </r>
    <phoneticPr fontId="2"/>
  </si>
  <si>
    <r>
      <t xml:space="preserve">11:00 - </t>
    </r>
    <r>
      <rPr>
        <sz val="26"/>
        <color rgb="FFFF0000"/>
        <rFont val="Meiryo UI"/>
        <family val="3"/>
        <charset val="128"/>
      </rPr>
      <t>14:10</t>
    </r>
    <phoneticPr fontId="2"/>
  </si>
  <si>
    <t>v2.01</t>
    <phoneticPr fontId="2"/>
  </si>
  <si>
    <r>
      <t xml:space="preserve">16:30 - </t>
    </r>
    <r>
      <rPr>
        <sz val="26"/>
        <color rgb="FFFF0000"/>
        <rFont val="Meiryo UI"/>
        <family val="3"/>
        <charset val="128"/>
      </rPr>
      <t>19:40</t>
    </r>
    <phoneticPr fontId="2"/>
  </si>
  <si>
    <r>
      <t xml:space="preserve">16:30 - </t>
    </r>
    <r>
      <rPr>
        <sz val="26"/>
        <color rgb="FFFF0000"/>
        <rFont val="Meiryo UI"/>
        <family val="3"/>
        <charset val="128"/>
      </rPr>
      <t>19:45</t>
    </r>
    <phoneticPr fontId="2"/>
  </si>
  <si>
    <t>Equestrian Park</t>
    <phoneticPr fontId="2"/>
  </si>
  <si>
    <t>EQP</t>
  </si>
  <si>
    <t>Equestrian Park</t>
  </si>
  <si>
    <t>馬事公苑</t>
  </si>
  <si>
    <t>Equestrian</t>
    <phoneticPr fontId="2"/>
  </si>
  <si>
    <t>馬術</t>
  </si>
  <si>
    <r>
      <rPr>
        <sz val="26"/>
        <color rgb="FFFF0000"/>
        <rFont val="Meiryo UI"/>
        <family val="3"/>
        <charset val="128"/>
      </rPr>
      <t>16:00</t>
    </r>
    <r>
      <rPr>
        <sz val="26"/>
        <rFont val="Meiryo UI"/>
        <family val="3"/>
        <charset val="128"/>
      </rPr>
      <t xml:space="preserve"> - </t>
    </r>
    <r>
      <rPr>
        <sz val="26"/>
        <color rgb="FFFF0000"/>
        <rFont val="Meiryo UI"/>
        <family val="3"/>
        <charset val="128"/>
      </rPr>
      <t>23:30</t>
    </r>
    <phoneticPr fontId="2"/>
  </si>
  <si>
    <r>
      <rPr>
        <sz val="26"/>
        <color rgb="FFFF0000"/>
        <rFont val="Meiryo UI"/>
        <family val="3"/>
        <charset val="128"/>
      </rPr>
      <t xml:space="preserve">16:00 </t>
    </r>
    <r>
      <rPr>
        <sz val="26"/>
        <rFont val="Meiryo UI"/>
        <family val="3"/>
        <charset val="128"/>
      </rPr>
      <t xml:space="preserve">- </t>
    </r>
    <r>
      <rPr>
        <sz val="26"/>
        <color rgb="FFFF0000"/>
        <rFont val="Meiryo UI"/>
        <family val="3"/>
        <charset val="128"/>
      </rPr>
      <t>22:45</t>
    </r>
    <phoneticPr fontId="2"/>
  </si>
  <si>
    <t>17:00 - 22:10</t>
    <phoneticPr fontId="2"/>
  </si>
  <si>
    <t>18:00 - 20:45</t>
    <phoneticPr fontId="2"/>
  </si>
  <si>
    <r>
      <rPr>
        <sz val="26"/>
        <color rgb="FFFF0000"/>
        <rFont val="Meiryo UI"/>
        <family val="3"/>
        <charset val="128"/>
      </rPr>
      <t>16:00</t>
    </r>
    <r>
      <rPr>
        <sz val="26"/>
        <rFont val="Meiryo UI"/>
        <family val="3"/>
        <charset val="128"/>
      </rPr>
      <t xml:space="preserve"> - </t>
    </r>
    <r>
      <rPr>
        <sz val="26"/>
        <color rgb="FFFF0000"/>
        <rFont val="Meiryo UI"/>
        <family val="3"/>
        <charset val="128"/>
      </rPr>
      <t>23:15</t>
    </r>
    <phoneticPr fontId="2"/>
  </si>
  <si>
    <t>Musashino Forest Sport Plaza</t>
    <phoneticPr fontId="2"/>
  </si>
  <si>
    <t>MFS</t>
  </si>
  <si>
    <t>Musashino Forest Sport Plaza</t>
  </si>
  <si>
    <t>武蔵野の森総合スポーツプラザ</t>
  </si>
  <si>
    <t>Wheelchair Basketball</t>
    <phoneticPr fontId="2"/>
  </si>
  <si>
    <t>車いすバスケットボール</t>
    <rPh sb="0" eb="1">
      <t>クルマ</t>
    </rPh>
    <phoneticPr fontId="2"/>
  </si>
  <si>
    <t>09:00 - 13:00</t>
    <phoneticPr fontId="2"/>
  </si>
  <si>
    <t>v2.04</t>
    <phoneticPr fontId="2"/>
  </si>
  <si>
    <t>14:45 - 18:45</t>
    <phoneticPr fontId="2"/>
  </si>
  <si>
    <t>20:30 - 22:15</t>
    <phoneticPr fontId="2"/>
  </si>
  <si>
    <t>Ariake Arena</t>
    <phoneticPr fontId="2"/>
  </si>
  <si>
    <t>ARA</t>
  </si>
  <si>
    <t>Ariake Arena</t>
  </si>
  <si>
    <t>有明アリーナ</t>
  </si>
  <si>
    <t>09:00 - 10:45</t>
    <phoneticPr fontId="2"/>
  </si>
  <si>
    <t>10:00 - 14:30</t>
    <phoneticPr fontId="2"/>
  </si>
  <si>
    <t>12:30 - 16:30</t>
    <phoneticPr fontId="2"/>
  </si>
  <si>
    <t>12:30 - 16:30</t>
  </si>
  <si>
    <t>14:15 - 16:00</t>
    <phoneticPr fontId="2"/>
  </si>
  <si>
    <t>18:15 - 22:15</t>
    <phoneticPr fontId="2"/>
  </si>
  <si>
    <t>18:15 - 22:15</t>
  </si>
  <si>
    <t>17:45 - 22:15</t>
    <phoneticPr fontId="2"/>
  </si>
  <si>
    <t>Ariake Gymnastics Centre</t>
    <phoneticPr fontId="2"/>
  </si>
  <si>
    <t>AGC</t>
  </si>
  <si>
    <t>Ariake Gymnastics Centre</t>
  </si>
  <si>
    <t>有明体操競技場</t>
  </si>
  <si>
    <t>Boccia</t>
    <phoneticPr fontId="2"/>
  </si>
  <si>
    <t>ボッチャ</t>
    <phoneticPr fontId="2"/>
  </si>
  <si>
    <t>09:30-14:20</t>
    <phoneticPr fontId="2"/>
  </si>
  <si>
    <t>09:30-13:25</t>
    <phoneticPr fontId="2"/>
  </si>
  <si>
    <t>09:30-12:55</t>
    <phoneticPr fontId="2"/>
  </si>
  <si>
    <t>09:30-13:50</t>
    <phoneticPr fontId="2"/>
  </si>
  <si>
    <t>16:00-20:50</t>
    <phoneticPr fontId="2"/>
  </si>
  <si>
    <t>16:00-19:45</t>
    <phoneticPr fontId="2"/>
  </si>
  <si>
    <t>15:05-19:45</t>
    <phoneticPr fontId="2"/>
  </si>
  <si>
    <t>14:25-19:45</t>
    <phoneticPr fontId="2"/>
  </si>
  <si>
    <t>14:25-19:35</t>
    <phoneticPr fontId="2"/>
  </si>
  <si>
    <t>15:20-21:15</t>
    <phoneticPr fontId="2"/>
  </si>
  <si>
    <t>Ariake Tennis Park</t>
    <phoneticPr fontId="2"/>
  </si>
  <si>
    <t>ART</t>
  </si>
  <si>
    <t>Ariake Tennis Park</t>
  </si>
  <si>
    <t>有明テニスの森</t>
  </si>
  <si>
    <t>Wheelchair Tennis</t>
    <phoneticPr fontId="2"/>
  </si>
  <si>
    <t>車いすテニス</t>
    <rPh sb="0" eb="1">
      <t>クルマ</t>
    </rPh>
    <phoneticPr fontId="2"/>
  </si>
  <si>
    <t>11:00 - 20:00</t>
    <phoneticPr fontId="2"/>
  </si>
  <si>
    <t>11:00 - 20:00</t>
  </si>
  <si>
    <t>12:00 - 20:00</t>
    <phoneticPr fontId="2"/>
  </si>
  <si>
    <t>12:00 - 18:00</t>
    <phoneticPr fontId="2"/>
  </si>
  <si>
    <t>v2.05</t>
    <phoneticPr fontId="2"/>
  </si>
  <si>
    <t>Odaiba Marine Park</t>
    <phoneticPr fontId="2"/>
  </si>
  <si>
    <t>OMP</t>
  </si>
  <si>
    <t>Odaiba Marine Park</t>
  </si>
  <si>
    <t>お台場海浜公園</t>
  </si>
  <si>
    <t>Triathlon</t>
    <phoneticPr fontId="2"/>
  </si>
  <si>
    <t>トライアスロン</t>
    <phoneticPr fontId="2"/>
  </si>
  <si>
    <t>06:30 - 11:00</t>
    <phoneticPr fontId="2"/>
  </si>
  <si>
    <t>06:30 - 11:10</t>
    <phoneticPr fontId="2"/>
  </si>
  <si>
    <t>Aomi Urban Sports Park</t>
    <phoneticPr fontId="2"/>
  </si>
  <si>
    <t>AUP</t>
  </si>
  <si>
    <t>Aomi Urban Sports Park</t>
  </si>
  <si>
    <t>青海アーバンスポーツパーク</t>
  </si>
  <si>
    <t>Football 5-a-side</t>
    <phoneticPr fontId="2"/>
  </si>
  <si>
    <t>5人サッカ－</t>
    <rPh sb="1" eb="2">
      <t>ニン</t>
    </rPh>
    <phoneticPr fontId="2"/>
  </si>
  <si>
    <t>11:30 - 13:00</t>
  </si>
  <si>
    <t>16:30 - 18:00</t>
    <phoneticPr fontId="2"/>
  </si>
  <si>
    <t>17:30 - 19:35</t>
  </si>
  <si>
    <t>19:30 - 21:00</t>
    <phoneticPr fontId="2"/>
  </si>
  <si>
    <t>Sea Forest Waterway</t>
    <phoneticPr fontId="2"/>
  </si>
  <si>
    <t>SFW</t>
  </si>
  <si>
    <t>Sea Forest Waterway</t>
  </si>
  <si>
    <t>海の森水上競技場</t>
  </si>
  <si>
    <t>Canoe</t>
    <phoneticPr fontId="2"/>
  </si>
  <si>
    <t>カヌー</t>
  </si>
  <si>
    <t>09:30 - 11:40</t>
    <phoneticPr fontId="2"/>
  </si>
  <si>
    <t>09:30 - 12:10</t>
    <phoneticPr fontId="2"/>
  </si>
  <si>
    <t>09:30 - 12:30</t>
    <phoneticPr fontId="2"/>
  </si>
  <si>
    <t>Rowing</t>
    <phoneticPr fontId="2"/>
  </si>
  <si>
    <t>ボート</t>
    <phoneticPr fontId="2"/>
  </si>
  <si>
    <t>09:30 - 12:20</t>
    <phoneticPr fontId="2"/>
  </si>
  <si>
    <t>Yumenoshima Park Archery Field</t>
    <phoneticPr fontId="2"/>
  </si>
  <si>
    <t>YAF</t>
  </si>
  <si>
    <t>Yumenoshima Park Archery Field</t>
  </si>
  <si>
    <t>夢の島公園アーチェリー場</t>
  </si>
  <si>
    <t>Archery</t>
    <phoneticPr fontId="2"/>
  </si>
  <si>
    <t>アーチェリー</t>
  </si>
  <si>
    <t>09:00 - 12:00</t>
    <phoneticPr fontId="2"/>
  </si>
  <si>
    <t>09:00 - 14:55</t>
    <phoneticPr fontId="2"/>
  </si>
  <si>
    <r>
      <t xml:space="preserve">09:00 - </t>
    </r>
    <r>
      <rPr>
        <sz val="26"/>
        <color rgb="FFFF0000"/>
        <rFont val="Meiryo UI"/>
        <family val="3"/>
        <charset val="128"/>
      </rPr>
      <t>12:50</t>
    </r>
    <phoneticPr fontId="2"/>
  </si>
  <si>
    <t>09:00 - 14:15</t>
    <phoneticPr fontId="2"/>
  </si>
  <si>
    <t>10:00 - 14:15</t>
    <phoneticPr fontId="2"/>
  </si>
  <si>
    <r>
      <t xml:space="preserve">10:00 - </t>
    </r>
    <r>
      <rPr>
        <sz val="26"/>
        <color rgb="FFFF0000"/>
        <rFont val="Meiryo UI"/>
        <family val="3"/>
        <charset val="128"/>
      </rPr>
      <t>12:00</t>
    </r>
    <phoneticPr fontId="2"/>
  </si>
  <si>
    <t>14:00 - 17:00</t>
    <phoneticPr fontId="2"/>
  </si>
  <si>
    <r>
      <t xml:space="preserve">17:30 - </t>
    </r>
    <r>
      <rPr>
        <sz val="26"/>
        <color rgb="FFFF0000"/>
        <rFont val="Meiryo UI"/>
        <family val="3"/>
        <charset val="128"/>
      </rPr>
      <t>20:15</t>
    </r>
    <phoneticPr fontId="2"/>
  </si>
  <si>
    <t>17:30 - 20:35</t>
    <phoneticPr fontId="2"/>
  </si>
  <si>
    <t>17:30 - 21:20</t>
    <phoneticPr fontId="2"/>
  </si>
  <si>
    <t>17:30 - 19:55</t>
    <phoneticPr fontId="2"/>
  </si>
  <si>
    <t>17:30 - 21:55</t>
    <phoneticPr fontId="2"/>
  </si>
  <si>
    <t>Tokyo Aquatics Centre</t>
    <phoneticPr fontId="2"/>
  </si>
  <si>
    <t>TAC</t>
  </si>
  <si>
    <t>Tokyo Aquatics Centre</t>
  </si>
  <si>
    <t>東京アクアティクスセンター</t>
  </si>
  <si>
    <t>Swimming</t>
    <phoneticPr fontId="2"/>
  </si>
  <si>
    <t>水泳</t>
    <rPh sb="0" eb="2">
      <t>スイエイ</t>
    </rPh>
    <phoneticPr fontId="2"/>
  </si>
  <si>
    <t>09:00 - 11:45</t>
    <phoneticPr fontId="2"/>
  </si>
  <si>
    <t>09:00 - 11:25</t>
    <phoneticPr fontId="2"/>
  </si>
  <si>
    <t>09:00 - 11:10</t>
    <phoneticPr fontId="2"/>
  </si>
  <si>
    <t>09:00 - 11:35</t>
    <phoneticPr fontId="2"/>
  </si>
  <si>
    <t>09:00 - 11:30</t>
    <phoneticPr fontId="2"/>
  </si>
  <si>
    <t>09:00 - 11:20</t>
    <phoneticPr fontId="2"/>
  </si>
  <si>
    <t>17:00 - 21:05</t>
    <phoneticPr fontId="2"/>
  </si>
  <si>
    <t>17:00 - 20:35</t>
    <phoneticPr fontId="2"/>
  </si>
  <si>
    <t>17:00 - 20:30</t>
    <phoneticPr fontId="2"/>
  </si>
  <si>
    <t>17:00 - 20:40</t>
    <phoneticPr fontId="2"/>
  </si>
  <si>
    <t>17:00 - 20:25</t>
    <phoneticPr fontId="2"/>
  </si>
  <si>
    <t>17:00 - 20:50</t>
    <phoneticPr fontId="2"/>
  </si>
  <si>
    <t>Makuhari Messe Hall A</t>
    <phoneticPr fontId="2"/>
  </si>
  <si>
    <t>MMA</t>
  </si>
  <si>
    <t>Makuhari Messe Hall A</t>
  </si>
  <si>
    <t>幕張メッセA</t>
  </si>
  <si>
    <t>Sitting Volleyball</t>
    <phoneticPr fontId="2"/>
  </si>
  <si>
    <t>シッティングバレーボール</t>
    <phoneticPr fontId="2"/>
  </si>
  <si>
    <t>10:00 - 11:30</t>
  </si>
  <si>
    <t>10:00 - 13:00</t>
    <phoneticPr fontId="2"/>
  </si>
  <si>
    <t>v3.02</t>
    <phoneticPr fontId="2"/>
  </si>
  <si>
    <t>14:00 - 15:30</t>
  </si>
  <si>
    <t>13:30 - 17:00</t>
    <phoneticPr fontId="2"/>
  </si>
  <si>
    <t>14:00 - 22:00</t>
    <phoneticPr fontId="2"/>
  </si>
  <si>
    <t>18:30 - 22:00</t>
  </si>
  <si>
    <t>18:30 - 22:00</t>
    <phoneticPr fontId="2"/>
  </si>
  <si>
    <t>Makuhari Messe Hall C</t>
    <phoneticPr fontId="2"/>
  </si>
  <si>
    <t>MMC</t>
    <phoneticPr fontId="2"/>
  </si>
  <si>
    <t>Makuhari Messe Hall C</t>
  </si>
  <si>
    <t>幕張メッセＣ</t>
    <phoneticPr fontId="2"/>
  </si>
  <si>
    <t>Goalball</t>
    <phoneticPr fontId="2"/>
  </si>
  <si>
    <t>ゴールボール</t>
    <phoneticPr fontId="2"/>
  </si>
  <si>
    <t>13:15 - 16:00</t>
  </si>
  <si>
    <t>13:15 - 16:15</t>
    <phoneticPr fontId="2"/>
  </si>
  <si>
    <t>17:30 - 21:45</t>
  </si>
  <si>
    <t>17:30 - 20:15</t>
  </si>
  <si>
    <t>17:45 - 20:45</t>
    <phoneticPr fontId="2"/>
  </si>
  <si>
    <t>17:45 - 21:55</t>
    <phoneticPr fontId="2"/>
  </si>
  <si>
    <t>Makuhari Messe Hall B</t>
    <phoneticPr fontId="2"/>
  </si>
  <si>
    <t>MMB</t>
  </si>
  <si>
    <t>Makuhari Messe Hall B</t>
  </si>
  <si>
    <t>幕張メッセB</t>
  </si>
  <si>
    <t>Taekwondo</t>
    <phoneticPr fontId="2"/>
  </si>
  <si>
    <t>テコンドー</t>
    <phoneticPr fontId="2"/>
  </si>
  <si>
    <t>10:00 - 15:00</t>
  </si>
  <si>
    <t>Wheelchair Fencing</t>
    <phoneticPr fontId="2"/>
  </si>
  <si>
    <t>車いすフェンシング</t>
    <rPh sb="0" eb="1">
      <t>クルマ</t>
    </rPh>
    <phoneticPr fontId="2"/>
  </si>
  <si>
    <t>09:00 - 15:40</t>
    <phoneticPr fontId="2"/>
  </si>
  <si>
    <t>08:30 - 16:00</t>
    <phoneticPr fontId="2"/>
  </si>
  <si>
    <t>15:30 - 20:15</t>
    <phoneticPr fontId="2"/>
  </si>
  <si>
    <t>17:00 - 21:45</t>
    <phoneticPr fontId="2"/>
  </si>
  <si>
    <t>17:30 - 21:15</t>
    <phoneticPr fontId="2"/>
  </si>
  <si>
    <t>16:30 - 21:15</t>
    <phoneticPr fontId="2"/>
  </si>
  <si>
    <t>Asaka Shooting Range</t>
    <phoneticPr fontId="2"/>
  </si>
  <si>
    <t>ASR</t>
  </si>
  <si>
    <t>Asaka Shooting Range</t>
  </si>
  <si>
    <t>陸上自衛隊朝霞訓練場</t>
  </si>
  <si>
    <t>Shooting</t>
    <phoneticPr fontId="2"/>
  </si>
  <si>
    <t>射撃</t>
  </si>
  <si>
    <t>08:30 - 16:45</t>
    <phoneticPr fontId="2"/>
  </si>
  <si>
    <t>09:30 - 15:30</t>
    <phoneticPr fontId="2"/>
  </si>
  <si>
    <t>09:30 - 14:45</t>
    <phoneticPr fontId="2"/>
  </si>
  <si>
    <t>08:45 - 16:45</t>
    <phoneticPr fontId="2"/>
  </si>
  <si>
    <t>09:30 - 16:30</t>
    <phoneticPr fontId="2"/>
  </si>
  <si>
    <t>09:30 - 15:45</t>
    <phoneticPr fontId="2"/>
  </si>
  <si>
    <t>Izu Velodrome</t>
    <phoneticPr fontId="2"/>
  </si>
  <si>
    <t>IVD</t>
  </si>
  <si>
    <t>Izu Velodrome</t>
  </si>
  <si>
    <t>伊豆ベロドローム</t>
  </si>
  <si>
    <t>Cycling</t>
    <phoneticPr fontId="2"/>
  </si>
  <si>
    <t>サイクリング（トラック）</t>
    <phoneticPr fontId="2"/>
  </si>
  <si>
    <t>10:00 - 15:25</t>
    <phoneticPr fontId="2"/>
  </si>
  <si>
    <r>
      <t>10:00 -</t>
    </r>
    <r>
      <rPr>
        <sz val="26"/>
        <color rgb="FFFF0000"/>
        <rFont val="Meiryo UI"/>
        <family val="3"/>
        <charset val="128"/>
      </rPr>
      <t xml:space="preserve"> 16:30</t>
    </r>
    <phoneticPr fontId="2"/>
  </si>
  <si>
    <r>
      <t>10:00 -</t>
    </r>
    <r>
      <rPr>
        <sz val="26"/>
        <color rgb="FFFF0000"/>
        <rFont val="Meiryo UI"/>
        <family val="3"/>
        <charset val="128"/>
      </rPr>
      <t xml:space="preserve"> 16:15</t>
    </r>
    <phoneticPr fontId="2"/>
  </si>
  <si>
    <r>
      <t xml:space="preserve">10:00 - </t>
    </r>
    <r>
      <rPr>
        <sz val="26"/>
        <color rgb="FFFF0000"/>
        <rFont val="Meiryo UI"/>
        <family val="3"/>
        <charset val="128"/>
      </rPr>
      <t>12:50</t>
    </r>
    <phoneticPr fontId="2"/>
  </si>
  <si>
    <t>Fuji International Speedway</t>
    <phoneticPr fontId="2"/>
  </si>
  <si>
    <t>FSW</t>
  </si>
  <si>
    <t>Fuji International Speedway</t>
  </si>
  <si>
    <t>富士スピードウェイ</t>
  </si>
  <si>
    <t>サイクリング（ロード）</t>
    <phoneticPr fontId="2"/>
  </si>
  <si>
    <t>08:00 - 17:15</t>
    <phoneticPr fontId="2"/>
  </si>
  <si>
    <t>09:30 - 17:05</t>
    <phoneticPr fontId="2"/>
  </si>
  <si>
    <t>09:30 - 16:45</t>
    <phoneticPr fontId="2"/>
  </si>
  <si>
    <t>No</t>
  </si>
  <si>
    <t>Venue1</t>
  </si>
  <si>
    <t>Venue2</t>
  </si>
  <si>
    <t>Sports/Discipline</t>
  </si>
  <si>
    <t>8月28日</t>
  </si>
  <si>
    <t>Athletics</t>
  </si>
  <si>
    <t>09:30 - 12:50</t>
  </si>
  <si>
    <t>19:00 - 22:00</t>
  </si>
  <si>
    <t>09:00 - 15:00</t>
  </si>
  <si>
    <t>16:30 - 21:30</t>
  </si>
  <si>
    <t>Wheelchair Rugby</t>
  </si>
  <si>
    <t>11:30 - 16:00</t>
  </si>
  <si>
    <t>Judo</t>
  </si>
  <si>
    <t>16:00 - 18:40</t>
  </si>
  <si>
    <t>Powerlifting</t>
  </si>
  <si>
    <t>11:00 - 14:15</t>
  </si>
  <si>
    <t>16:30 - 19:45</t>
  </si>
  <si>
    <t>Equestrian</t>
  </si>
  <si>
    <t>17:00 - 22:10</t>
  </si>
  <si>
    <t>Wheelchair Basketball</t>
  </si>
  <si>
    <t>09:00 - 13:00</t>
  </si>
  <si>
    <t>14:45 - 18:45</t>
  </si>
  <si>
    <t>20:30 - 22:15</t>
  </si>
  <si>
    <t>Boccia</t>
  </si>
  <si>
    <t>09:30-14:20</t>
  </si>
  <si>
    <t>16:00-20:50</t>
  </si>
  <si>
    <t>Wheelchair Tennis</t>
  </si>
  <si>
    <t>Triathlon</t>
  </si>
  <si>
    <t>06:30 - 11:00</t>
  </si>
  <si>
    <t>Rowing</t>
  </si>
  <si>
    <t>09:30 - 12:10</t>
  </si>
  <si>
    <t>Archery</t>
  </si>
  <si>
    <t>09:00 - 14:55</t>
  </si>
  <si>
    <t>Swimming</t>
  </si>
  <si>
    <t>09:00 - 11:35</t>
  </si>
  <si>
    <t>17:00 - 20:40</t>
  </si>
  <si>
    <t>Sitting Volleyball</t>
  </si>
  <si>
    <t>MMC</t>
  </si>
  <si>
    <t>Goalball</t>
  </si>
  <si>
    <t>09:00 - 11:45</t>
  </si>
  <si>
    <t>Wheelchair Fencing</t>
  </si>
  <si>
    <t>16:30 - 21:15</t>
  </si>
  <si>
    <t>Cycling</t>
  </si>
  <si>
    <t>10:00 - 12:50</t>
  </si>
  <si>
    <t>総計</t>
  </si>
  <si>
    <t>作成有無</t>
    <rPh sb="0" eb="2">
      <t>サクセイ</t>
    </rPh>
    <rPh sb="2" eb="4">
      <t>ウム</t>
    </rPh>
    <phoneticPr fontId="2"/>
  </si>
  <si>
    <t>MISとIKSは作成不要</t>
    <rPh sb="8" eb="10">
      <t>サクセイ</t>
    </rPh>
    <rPh sb="10" eb="12">
      <t>フヨウ</t>
    </rPh>
    <phoneticPr fontId="2"/>
  </si>
  <si>
    <t>〇</t>
  </si>
  <si>
    <t>作成セッション数</t>
    <rPh sb="0" eb="2">
      <t>サクセイ</t>
    </rPh>
    <rPh sb="7" eb="8">
      <t>スウ</t>
    </rPh>
    <phoneticPr fontId="2"/>
  </si>
  <si>
    <t>作成シート名</t>
    <rPh sb="0" eb="2">
      <t>サクセイ</t>
    </rPh>
    <rPh sb="5" eb="6">
      <t>メイ</t>
    </rPh>
    <phoneticPr fontId="2"/>
  </si>
  <si>
    <t>基準試合終了時間</t>
    <rPh sb="0" eb="2">
      <t>キジュン</t>
    </rPh>
    <rPh sb="2" eb="4">
      <t>シアイ</t>
    </rPh>
    <rPh sb="4" eb="6">
      <t>シュウリョウ</t>
    </rPh>
    <rPh sb="6" eb="8">
      <t>ジカン</t>
    </rPh>
    <phoneticPr fontId="2"/>
  </si>
  <si>
    <t>以降</t>
    <rPh sb="0" eb="2">
      <t>イコウ</t>
    </rPh>
    <phoneticPr fontId="2"/>
  </si>
  <si>
    <t>Start time</t>
  </si>
  <si>
    <t>1hour before</t>
  </si>
  <si>
    <t>End time</t>
  </si>
  <si>
    <t>Middle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</si>
</sst>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h:mm;@"/>
    <numFmt numFmtId="177" formatCode="d\ mmmm\ \(ddd\)"/>
    <numFmt numFmtId="178" formatCode="yyyy&quot;年&quot;m&quot;月&quot;;@"/>
  </numFmts>
  <fonts count="41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HGPｺﾞｼｯｸM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HGPｺﾞｼｯｸE"/>
      <family val="3"/>
      <charset val="128"/>
    </font>
    <font>
      <sz val="10"/>
      <color theme="1"/>
      <name val="HGPｺﾞｼｯｸE"/>
      <family val="3"/>
      <charset val="128"/>
    </font>
    <font>
      <sz val="11"/>
      <color theme="1"/>
      <name val="HGPｺﾞｼｯｸE"/>
      <family val="3"/>
      <charset val="128"/>
    </font>
    <font>
      <sz val="8"/>
      <color theme="1"/>
      <name val="HGPｺﾞｼｯｸE"/>
      <family val="3"/>
      <charset val="128"/>
    </font>
    <font>
      <u/>
      <sz val="11"/>
      <color theme="0"/>
      <name val="HGPｺﾞｼｯｸM"/>
      <family val="3"/>
      <charset val="128"/>
    </font>
    <font>
      <b/>
      <sz val="10"/>
      <color theme="1"/>
      <name val="HGPｺﾞｼｯｸE"/>
      <family val="3"/>
      <charset val="128"/>
    </font>
    <font>
      <b/>
      <sz val="12"/>
      <color theme="1"/>
      <name val="HGPｺﾞｼｯｸE"/>
      <family val="3"/>
      <charset val="128"/>
    </font>
    <font>
      <b/>
      <sz val="8"/>
      <color theme="1"/>
      <name val="HGPｺﾞｼｯｸE"/>
      <family val="3"/>
      <charset val="128"/>
    </font>
    <font>
      <sz val="9"/>
      <color theme="1"/>
      <name val="HGPｺﾞｼｯｸE"/>
      <family val="3"/>
      <charset val="128"/>
    </font>
    <font>
      <b/>
      <sz val="55"/>
      <name val="Meiryo UI"/>
      <family val="3"/>
      <charset val="128"/>
    </font>
    <font>
      <sz val="55"/>
      <name val="Meiryo UI"/>
      <family val="3"/>
      <charset val="128"/>
    </font>
    <font>
      <sz val="14"/>
      <color theme="1" tint="0.249977111117893"/>
      <name val="Meiryo UI"/>
      <family val="3"/>
      <charset val="128"/>
    </font>
    <font>
      <sz val="35"/>
      <name val="Meiryo UI"/>
      <family val="3"/>
      <charset val="128"/>
    </font>
    <font>
      <sz val="14"/>
      <name val="Meiryo UI"/>
      <family val="3"/>
      <charset val="128"/>
    </font>
    <font>
      <sz val="30"/>
      <name val="Meiryo UI"/>
      <family val="3"/>
      <charset val="128"/>
    </font>
    <font>
      <sz val="36"/>
      <name val="Meiryo UI"/>
      <family val="3"/>
      <charset val="128"/>
    </font>
    <font>
      <b/>
      <sz val="22"/>
      <name val="Meiryo UI"/>
      <family val="3"/>
      <charset val="128"/>
    </font>
    <font>
      <b/>
      <sz val="30"/>
      <name val="Meiryo UI"/>
      <family val="3"/>
      <charset val="128"/>
    </font>
    <font>
      <b/>
      <sz val="36"/>
      <name val="Meiryo UI"/>
      <family val="3"/>
      <charset val="128"/>
    </font>
    <font>
      <sz val="22"/>
      <name val="Meiryo UI"/>
      <family val="3"/>
      <charset val="128"/>
    </font>
    <font>
      <b/>
      <sz val="28"/>
      <name val="Meiryo UI"/>
      <family val="3"/>
      <charset val="128"/>
    </font>
    <font>
      <b/>
      <sz val="24"/>
      <name val="Meiryo UI"/>
      <family val="3"/>
      <charset val="128"/>
    </font>
    <font>
      <sz val="24"/>
      <name val="Meiryo UI"/>
      <family val="3"/>
      <charset val="128"/>
    </font>
    <font>
      <sz val="26"/>
      <name val="Meiryo UI"/>
      <family val="3"/>
      <charset val="128"/>
    </font>
    <font>
      <sz val="26"/>
      <color rgb="FFFF0000"/>
      <name val="Meiryo UI"/>
      <family val="3"/>
      <charset val="128"/>
    </font>
    <font>
      <sz val="26"/>
      <color theme="1"/>
      <name val="Meiryo UI"/>
      <family val="3"/>
      <charset val="128"/>
    </font>
    <font>
      <sz val="35"/>
      <color theme="1"/>
      <name val="Meiryo UI"/>
      <family val="3"/>
      <charset val="128"/>
    </font>
    <font>
      <sz val="14"/>
      <color rgb="FFFF0000"/>
      <name val="Meiryo UI"/>
      <family val="3"/>
      <charset val="128"/>
    </font>
    <font>
      <b/>
      <sz val="26"/>
      <color theme="0"/>
      <name val="Meiryo UI"/>
      <family val="3"/>
      <charset val="128"/>
    </font>
    <font>
      <b/>
      <sz val="24"/>
      <color theme="1"/>
      <name val="Meiryo UI"/>
      <family val="3"/>
      <charset val="128"/>
    </font>
    <font>
      <b/>
      <sz val="26"/>
      <name val="Meiryo UI"/>
      <family val="3"/>
      <charset val="128"/>
    </font>
    <font>
      <sz val="34"/>
      <name val="Meiryo UI"/>
      <family val="3"/>
      <charset val="128"/>
    </font>
    <font>
      <b/>
      <sz val="14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</fills>
  <borders count="75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0.499984740745262"/>
      </top>
      <bottom/>
      <diagonal/>
    </border>
    <border>
      <left/>
      <right style="medium">
        <color theme="0" tint="-0.499984740745262"/>
      </right>
      <top style="thin">
        <color theme="0" tint="-0.499984740745262"/>
      </top>
      <bottom/>
      <diagonal/>
    </border>
    <border>
      <left style="thin">
        <color auto="1"/>
      </left>
      <right/>
      <top style="thin">
        <color theme="0" tint="-0.499984740745262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ck">
        <color indexed="64"/>
      </right>
      <top style="double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rgb="FFF4B08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rgb="FFF4B08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F4B084"/>
      </top>
      <bottom style="thin">
        <color indexed="64"/>
      </bottom>
      <diagonal/>
    </border>
    <border>
      <left/>
      <right style="thick">
        <color indexed="64"/>
      </right>
      <top style="double">
        <color rgb="FFF4B08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1">
    <xf numFmtId="0" fontId="0" fillId="0" borderId="0">
      <alignment vertical="center"/>
    </xf>
  </cellStyleXfs>
  <cellXfs count="305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177" fontId="9" fillId="0" borderId="5" xfId="0" applyNumberFormat="1" applyFont="1" applyBorder="1" applyAlignment="1">
      <alignment horizontal="center" vertical="center" wrapText="1"/>
    </xf>
    <xf numFmtId="177" fontId="9" fillId="0" borderId="6" xfId="0" applyNumberFormat="1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177" fontId="9" fillId="0" borderId="13" xfId="0" applyNumberFormat="1" applyFont="1" applyBorder="1" applyAlignment="1">
      <alignment horizontal="center" vertical="center" wrapText="1"/>
    </xf>
    <xf numFmtId="177" fontId="9" fillId="0" borderId="14" xfId="0" applyNumberFormat="1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shrinkToFit="1"/>
    </xf>
    <xf numFmtId="0" fontId="3" fillId="0" borderId="17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>
      <alignment vertical="center"/>
    </xf>
    <xf numFmtId="0" fontId="5" fillId="0" borderId="0" xfId="0" applyFont="1" applyFill="1" applyAlignment="1">
      <alignment horizontal="left" vertical="center" wrapText="1"/>
    </xf>
    <xf numFmtId="0" fontId="5" fillId="0" borderId="0" xfId="0" applyFont="1" applyFill="1">
      <alignment vertical="center"/>
    </xf>
    <xf numFmtId="0" fontId="1" fillId="0" borderId="0" xfId="0" applyFont="1" applyFill="1" applyBorder="1" applyAlignment="1">
      <alignment vertical="center" wrapText="1"/>
    </xf>
    <xf numFmtId="0" fontId="11" fillId="0" borderId="0" xfId="0" applyFont="1" applyFill="1" applyBorder="1" applyAlignment="1">
      <alignment wrapText="1"/>
    </xf>
    <xf numFmtId="0" fontId="1" fillId="0" borderId="0" xfId="0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horizontal="right" vertical="center"/>
    </xf>
    <xf numFmtId="0" fontId="5" fillId="0" borderId="0" xfId="0" applyFont="1" applyFill="1" applyAlignment="1">
      <alignment horizontal="left" vertical="center"/>
    </xf>
    <xf numFmtId="0" fontId="1" fillId="0" borderId="0" xfId="0" applyFont="1" applyFill="1" applyBorder="1" applyAlignment="1">
      <alignment horizontal="center" vertical="center" wrapText="1"/>
    </xf>
    <xf numFmtId="20" fontId="4" fillId="0" borderId="0" xfId="0" applyNumberFormat="1" applyFont="1" applyFill="1" applyBorder="1" applyAlignment="1">
      <alignment vertical="center" wrapText="1"/>
    </xf>
    <xf numFmtId="0" fontId="3" fillId="0" borderId="0" xfId="0" applyFont="1" applyBorder="1">
      <alignment vertical="center"/>
    </xf>
    <xf numFmtId="0" fontId="4" fillId="0" borderId="0" xfId="0" applyFont="1" applyBorder="1">
      <alignment vertical="center"/>
    </xf>
    <xf numFmtId="0" fontId="5" fillId="0" borderId="0" xfId="0" applyFont="1" applyBorder="1" applyAlignment="1">
      <alignment horizontal="center" vertical="center"/>
    </xf>
    <xf numFmtId="176" fontId="5" fillId="0" borderId="0" xfId="0" applyNumberFormat="1" applyFont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12" fillId="0" borderId="0" xfId="0" applyFont="1" applyBorder="1" applyAlignment="1">
      <alignment wrapText="1"/>
    </xf>
    <xf numFmtId="0" fontId="12" fillId="0" borderId="0" xfId="0" applyFont="1" applyBorder="1" applyAlignment="1">
      <alignment horizontal="center" vertical="center" wrapText="1"/>
    </xf>
    <xf numFmtId="0" fontId="12" fillId="0" borderId="0" xfId="0" applyFont="1" applyBorder="1" applyAlignment="1"/>
    <xf numFmtId="0" fontId="13" fillId="0" borderId="0" xfId="0" applyFont="1" applyBorder="1" applyAlignment="1"/>
    <xf numFmtId="0" fontId="13" fillId="0" borderId="0" xfId="0" applyFont="1" applyBorder="1" applyAlignment="1">
      <alignment wrapText="1"/>
    </xf>
    <xf numFmtId="0" fontId="14" fillId="0" borderId="0" xfId="0" applyFont="1">
      <alignment vertical="center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right"/>
    </xf>
    <xf numFmtId="0" fontId="16" fillId="0" borderId="0" xfId="0" applyFont="1">
      <alignment vertical="center"/>
    </xf>
    <xf numFmtId="0" fontId="17" fillId="2" borderId="18" xfId="0" applyFont="1" applyFill="1" applyBorder="1" applyAlignment="1">
      <alignment horizontal="center" vertical="center" shrinkToFit="1"/>
    </xf>
    <xf numFmtId="0" fontId="18" fillId="2" borderId="19" xfId="0" applyFont="1" applyFill="1" applyBorder="1" applyAlignment="1">
      <alignment horizontal="center" vertical="center" shrinkToFit="1"/>
    </xf>
    <xf numFmtId="0" fontId="18" fillId="2" borderId="18" xfId="0" applyFont="1" applyFill="1" applyBorder="1" applyAlignment="1">
      <alignment horizontal="center" vertical="center" shrinkToFit="1"/>
    </xf>
    <xf numFmtId="0" fontId="18" fillId="2" borderId="20" xfId="0" applyFont="1" applyFill="1" applyBorder="1" applyAlignment="1">
      <alignment horizontal="center" vertical="center" shrinkToFit="1"/>
    </xf>
    <xf numFmtId="0" fontId="17" fillId="2" borderId="19" xfId="0" applyFont="1" applyFill="1" applyBorder="1" applyAlignment="1">
      <alignment horizontal="center" vertical="center" shrinkToFit="1"/>
    </xf>
    <xf numFmtId="0" fontId="19" fillId="2" borderId="21" xfId="0" applyFont="1" applyFill="1" applyBorder="1" applyAlignment="1">
      <alignment horizontal="center" vertical="center" wrapText="1"/>
    </xf>
    <xf numFmtId="0" fontId="19" fillId="2" borderId="22" xfId="0" applyFont="1" applyFill="1" applyBorder="1" applyAlignment="1">
      <alignment horizontal="center" vertical="center" wrapText="1"/>
    </xf>
    <xf numFmtId="0" fontId="20" fillId="2" borderId="22" xfId="0" applyFont="1" applyFill="1" applyBorder="1" applyAlignment="1">
      <alignment horizontal="center" vertical="center" wrapText="1"/>
    </xf>
    <xf numFmtId="0" fontId="20" fillId="2" borderId="23" xfId="0" applyFont="1" applyFill="1" applyBorder="1" applyAlignment="1">
      <alignment horizontal="center" vertical="center" wrapText="1"/>
    </xf>
    <xf numFmtId="0" fontId="20" fillId="2" borderId="24" xfId="0" applyFont="1" applyFill="1" applyBorder="1" applyAlignment="1">
      <alignment horizontal="center" vertical="center" shrinkToFit="1"/>
    </xf>
    <xf numFmtId="0" fontId="21" fillId="2" borderId="25" xfId="0" applyFont="1" applyFill="1" applyBorder="1" applyAlignment="1">
      <alignment horizontal="center" vertical="center" shrinkToFit="1"/>
    </xf>
    <xf numFmtId="0" fontId="21" fillId="2" borderId="24" xfId="0" applyFont="1" applyFill="1" applyBorder="1" applyAlignment="1">
      <alignment horizontal="center" vertical="center" shrinkToFit="1"/>
    </xf>
    <xf numFmtId="0" fontId="21" fillId="2" borderId="26" xfId="0" applyFont="1" applyFill="1" applyBorder="1" applyAlignment="1">
      <alignment horizontal="center" vertical="center" shrinkToFit="1"/>
    </xf>
    <xf numFmtId="0" fontId="20" fillId="2" borderId="25" xfId="0" applyFont="1" applyFill="1" applyBorder="1" applyAlignment="1">
      <alignment horizontal="center" vertical="center" shrinkToFit="1"/>
    </xf>
    <xf numFmtId="0" fontId="18" fillId="2" borderId="26" xfId="0" applyFont="1" applyFill="1" applyBorder="1" applyAlignment="1">
      <alignment horizontal="center" vertical="center" shrinkToFit="1"/>
    </xf>
    <xf numFmtId="0" fontId="22" fillId="2" borderId="21" xfId="0" applyFont="1" applyFill="1" applyBorder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20" fillId="2" borderId="0" xfId="0" applyFont="1" applyFill="1" applyAlignment="1">
      <alignment horizontal="center" vertical="center" wrapText="1"/>
    </xf>
    <xf numFmtId="0" fontId="20" fillId="2" borderId="27" xfId="0" applyFont="1" applyFill="1" applyBorder="1" applyAlignment="1">
      <alignment horizontal="center" vertical="center" wrapText="1"/>
    </xf>
    <xf numFmtId="0" fontId="20" fillId="2" borderId="18" xfId="0" applyFont="1" applyFill="1" applyBorder="1" applyAlignment="1">
      <alignment horizontal="center" vertical="center" shrinkToFit="1"/>
    </xf>
    <xf numFmtId="0" fontId="20" fillId="2" borderId="28" xfId="0" applyFont="1" applyFill="1" applyBorder="1" applyAlignment="1">
      <alignment horizontal="center" vertical="center" shrinkToFit="1"/>
    </xf>
    <xf numFmtId="0" fontId="21" fillId="2" borderId="19" xfId="0" applyFont="1" applyFill="1" applyBorder="1" applyAlignment="1">
      <alignment horizontal="center" vertical="center" shrinkToFit="1"/>
    </xf>
    <xf numFmtId="0" fontId="21" fillId="2" borderId="18" xfId="0" applyFont="1" applyFill="1" applyBorder="1" applyAlignment="1">
      <alignment horizontal="center" vertical="center" shrinkToFit="1"/>
    </xf>
    <xf numFmtId="0" fontId="21" fillId="2" borderId="20" xfId="0" applyFont="1" applyFill="1" applyBorder="1" applyAlignment="1">
      <alignment horizontal="center" vertical="center" shrinkToFit="1"/>
    </xf>
    <xf numFmtId="0" fontId="20" fillId="2" borderId="19" xfId="0" applyFont="1" applyFill="1" applyBorder="1" applyAlignment="1">
      <alignment horizontal="center" vertical="center" shrinkToFit="1"/>
    </xf>
    <xf numFmtId="0" fontId="23" fillId="2" borderId="20" xfId="0" applyFont="1" applyFill="1" applyBorder="1" applyAlignment="1">
      <alignment horizontal="center" vertical="center" shrinkToFit="1"/>
    </xf>
    <xf numFmtId="56" fontId="22" fillId="2" borderId="11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 vertical="center" wrapText="1"/>
    </xf>
    <xf numFmtId="0" fontId="20" fillId="2" borderId="29" xfId="0" applyFont="1" applyFill="1" applyBorder="1" applyAlignment="1">
      <alignment horizontal="center" vertical="center" wrapText="1"/>
    </xf>
    <xf numFmtId="0" fontId="20" fillId="2" borderId="30" xfId="0" applyFont="1" applyFill="1" applyBorder="1" applyAlignment="1">
      <alignment horizontal="center" vertical="center" wrapText="1"/>
    </xf>
    <xf numFmtId="0" fontId="24" fillId="0" borderId="24" xfId="0" applyFont="1" applyBorder="1" applyAlignment="1">
      <alignment horizontal="left" vertical="center" shrinkToFit="1"/>
    </xf>
    <xf numFmtId="0" fontId="24" fillId="0" borderId="31" xfId="0" applyFont="1" applyBorder="1" applyAlignment="1">
      <alignment horizontal="center" vertical="center" shrinkToFit="1"/>
    </xf>
    <xf numFmtId="0" fontId="24" fillId="0" borderId="31" xfId="0" applyFont="1" applyBorder="1" applyAlignment="1">
      <alignment horizontal="left" vertical="center" shrinkToFit="1"/>
    </xf>
    <xf numFmtId="0" fontId="24" fillId="0" borderId="31" xfId="0" applyFont="1" applyBorder="1" applyAlignment="1">
      <alignment vertical="center" shrinkToFit="1"/>
    </xf>
    <xf numFmtId="0" fontId="25" fillId="0" borderId="31" xfId="0" applyFont="1" applyBorder="1" applyAlignment="1">
      <alignment vertical="center" shrinkToFit="1"/>
    </xf>
    <xf numFmtId="178" fontId="26" fillId="0" borderId="31" xfId="0" quotePrefix="1" applyNumberFormat="1" applyFont="1" applyBorder="1" applyAlignment="1">
      <alignment horizontal="center" vertical="center" shrinkToFit="1"/>
    </xf>
    <xf numFmtId="0" fontId="26" fillId="0" borderId="32" xfId="0" applyFont="1" applyBorder="1" applyAlignment="1">
      <alignment horizontal="center" vertical="top" shrinkToFit="1"/>
    </xf>
    <xf numFmtId="0" fontId="15" fillId="0" borderId="32" xfId="0" applyFont="1" applyBorder="1" applyAlignment="1">
      <alignment vertical="top" wrapText="1"/>
    </xf>
    <xf numFmtId="0" fontId="15" fillId="0" borderId="33" xfId="0" applyFont="1" applyBorder="1" applyAlignment="1">
      <alignment vertical="top" wrapText="1"/>
    </xf>
    <xf numFmtId="0" fontId="24" fillId="0" borderId="21" xfId="0" applyFont="1" applyBorder="1" applyAlignment="1">
      <alignment horizontal="center" vertical="center" shrinkToFit="1"/>
    </xf>
    <xf numFmtId="0" fontId="24" fillId="0" borderId="21" xfId="0" applyFont="1" applyBorder="1" applyAlignment="1">
      <alignment horizontal="left" vertical="center" shrinkToFit="1"/>
    </xf>
    <xf numFmtId="0" fontId="24" fillId="0" borderId="21" xfId="0" applyFont="1" applyBorder="1" applyAlignment="1">
      <alignment vertical="center" shrinkToFit="1"/>
    </xf>
    <xf numFmtId="0" fontId="25" fillId="0" borderId="21" xfId="0" applyFont="1" applyBorder="1" applyAlignment="1">
      <alignment vertical="center" shrinkToFit="1"/>
    </xf>
    <xf numFmtId="178" fontId="26" fillId="0" borderId="21" xfId="0" quotePrefix="1" applyNumberFormat="1" applyFont="1" applyBorder="1" applyAlignment="1">
      <alignment horizontal="center" vertical="center" shrinkToFit="1"/>
    </xf>
    <xf numFmtId="0" fontId="26" fillId="0" borderId="21" xfId="0" applyFont="1" applyBorder="1" applyAlignment="1">
      <alignment horizontal="center" vertical="top" shrinkToFit="1"/>
    </xf>
    <xf numFmtId="0" fontId="26" fillId="0" borderId="21" xfId="0" applyFont="1" applyBorder="1" applyAlignment="1">
      <alignment horizontal="center" vertical="center" shrinkToFit="1"/>
    </xf>
    <xf numFmtId="0" fontId="27" fillId="3" borderId="0" xfId="0" applyFont="1" applyFill="1" applyAlignment="1">
      <alignment horizontal="center" vertical="center" shrinkToFit="1"/>
    </xf>
    <xf numFmtId="0" fontId="15" fillId="0" borderId="0" xfId="0" applyFont="1" applyAlignment="1">
      <alignment vertical="top" wrapText="1"/>
    </xf>
    <xf numFmtId="0" fontId="15" fillId="0" borderId="27" xfId="0" applyFont="1" applyBorder="1" applyAlignment="1">
      <alignment vertical="top" wrapText="1"/>
    </xf>
    <xf numFmtId="0" fontId="24" fillId="0" borderId="31" xfId="0" applyFont="1" applyBorder="1" applyAlignment="1">
      <alignment horizontal="left" vertical="center" shrinkToFit="1"/>
    </xf>
    <xf numFmtId="0" fontId="15" fillId="0" borderId="0" xfId="0" applyFont="1" applyAlignment="1">
      <alignment vertical="top"/>
    </xf>
    <xf numFmtId="0" fontId="24" fillId="0" borderId="21" xfId="0" applyFont="1" applyBorder="1" applyAlignment="1">
      <alignment horizontal="left" vertical="center" wrapText="1" shrinkToFit="1"/>
    </xf>
    <xf numFmtId="178" fontId="28" fillId="0" borderId="21" xfId="0" quotePrefix="1" applyNumberFormat="1" applyFont="1" applyBorder="1" applyAlignment="1">
      <alignment horizontal="center" vertical="center" shrinkToFit="1"/>
    </xf>
    <xf numFmtId="0" fontId="26" fillId="3" borderId="21" xfId="0" applyFont="1" applyFill="1" applyBorder="1" applyAlignment="1">
      <alignment horizontal="center" vertical="center" shrinkToFit="1"/>
    </xf>
    <xf numFmtId="0" fontId="26" fillId="3" borderId="32" xfId="0" applyFont="1" applyFill="1" applyBorder="1" applyAlignment="1">
      <alignment horizontal="center" vertical="center" shrinkToFit="1"/>
    </xf>
    <xf numFmtId="0" fontId="29" fillId="0" borderId="32" xfId="0" applyFont="1" applyBorder="1" applyAlignment="1">
      <alignment vertical="top" wrapText="1"/>
    </xf>
    <xf numFmtId="0" fontId="29" fillId="0" borderId="33" xfId="0" applyFont="1" applyBorder="1" applyAlignment="1">
      <alignment vertical="top" wrapText="1"/>
    </xf>
    <xf numFmtId="0" fontId="24" fillId="0" borderId="21" xfId="0" applyFont="1" applyBorder="1" applyAlignment="1">
      <alignment horizontal="left" vertical="center" shrinkToFit="1"/>
    </xf>
    <xf numFmtId="0" fontId="29" fillId="0" borderId="0" xfId="0" applyFont="1" applyAlignment="1">
      <alignment vertical="top" wrapText="1"/>
    </xf>
    <xf numFmtId="0" fontId="29" fillId="0" borderId="27" xfId="0" applyFont="1" applyBorder="1" applyAlignment="1">
      <alignment vertical="top" wrapText="1"/>
    </xf>
    <xf numFmtId="0" fontId="24" fillId="0" borderId="21" xfId="0" applyFont="1" applyBorder="1" applyAlignment="1">
      <alignment vertical="center" wrapText="1" shrinkToFit="1"/>
    </xf>
    <xf numFmtId="0" fontId="26" fillId="0" borderId="21" xfId="0" applyFont="1" applyBorder="1" applyAlignment="1">
      <alignment horizontal="center" vertical="center"/>
    </xf>
    <xf numFmtId="178" fontId="27" fillId="0" borderId="32" xfId="0" quotePrefix="1" applyNumberFormat="1" applyFont="1" applyBorder="1" applyAlignment="1">
      <alignment horizontal="center" vertical="center" shrinkToFit="1"/>
    </xf>
    <xf numFmtId="0" fontId="29" fillId="0" borderId="32" xfId="0" applyFont="1" applyBorder="1" applyAlignment="1">
      <alignment horizontal="left" vertical="top" wrapText="1"/>
    </xf>
    <xf numFmtId="0" fontId="29" fillId="0" borderId="33" xfId="0" applyFont="1" applyBorder="1" applyAlignment="1">
      <alignment horizontal="left" vertical="top" wrapText="1"/>
    </xf>
    <xf numFmtId="0" fontId="24" fillId="0" borderId="21" xfId="0" applyFont="1" applyBorder="1" applyAlignment="1">
      <alignment vertical="center" shrinkToFit="1"/>
    </xf>
    <xf numFmtId="178" fontId="26" fillId="0" borderId="21" xfId="0" applyNumberFormat="1" applyFont="1" applyBorder="1" applyAlignment="1">
      <alignment horizontal="center" vertical="center" shrinkToFit="1"/>
    </xf>
    <xf numFmtId="20" fontId="26" fillId="0" borderId="21" xfId="0" applyNumberFormat="1" applyFont="1" applyBorder="1" applyAlignment="1">
      <alignment horizontal="center" vertical="center"/>
    </xf>
    <xf numFmtId="0" fontId="26" fillId="3" borderId="21" xfId="0" applyFont="1" applyFill="1" applyBorder="1" applyAlignment="1">
      <alignment horizontal="center" vertical="center"/>
    </xf>
    <xf numFmtId="0" fontId="26" fillId="3" borderId="21" xfId="0" applyFont="1" applyFill="1" applyBorder="1" applyAlignment="1">
      <alignment horizontal="center" vertical="top" shrinkToFit="1"/>
    </xf>
    <xf numFmtId="0" fontId="27" fillId="3" borderId="32" xfId="0" applyFont="1" applyFill="1" applyBorder="1" applyAlignment="1">
      <alignment horizontal="center" vertical="top" shrinkToFit="1"/>
    </xf>
    <xf numFmtId="0" fontId="26" fillId="3" borderId="0" xfId="0" applyFont="1" applyFill="1" applyAlignment="1">
      <alignment horizontal="center" vertical="top" shrinkToFit="1"/>
    </xf>
    <xf numFmtId="0" fontId="29" fillId="0" borderId="0" xfId="0" applyFont="1" applyAlignment="1">
      <alignment horizontal="left" vertical="top" wrapText="1"/>
    </xf>
    <xf numFmtId="0" fontId="29" fillId="0" borderId="27" xfId="0" applyFont="1" applyBorder="1" applyAlignment="1">
      <alignment horizontal="left" vertical="top" wrapText="1"/>
    </xf>
    <xf numFmtId="0" fontId="24" fillId="3" borderId="21" xfId="0" applyFont="1" applyFill="1" applyBorder="1" applyAlignment="1">
      <alignment vertical="center" shrinkToFit="1"/>
    </xf>
    <xf numFmtId="0" fontId="15" fillId="0" borderId="32" xfId="0" applyFont="1" applyBorder="1" applyAlignment="1">
      <alignment vertical="top" wrapText="1"/>
    </xf>
    <xf numFmtId="0" fontId="15" fillId="0" borderId="33" xfId="0" applyFont="1" applyBorder="1" applyAlignment="1">
      <alignment vertical="top" wrapText="1"/>
    </xf>
    <xf numFmtId="0" fontId="30" fillId="0" borderId="0" xfId="0" applyFont="1">
      <alignment vertical="center"/>
    </xf>
    <xf numFmtId="178" fontId="26" fillId="0" borderId="0" xfId="0" quotePrefix="1" applyNumberFormat="1" applyFont="1" applyAlignment="1">
      <alignment horizontal="center" vertical="center" shrinkToFit="1"/>
    </xf>
    <xf numFmtId="0" fontId="15" fillId="0" borderId="0" xfId="0" applyFont="1" applyAlignment="1">
      <alignment vertical="top" wrapText="1"/>
    </xf>
    <xf numFmtId="0" fontId="15" fillId="0" borderId="27" xfId="0" applyFont="1" applyBorder="1" applyAlignment="1">
      <alignment vertical="top" wrapText="1"/>
    </xf>
    <xf numFmtId="0" fontId="15" fillId="3" borderId="32" xfId="0" applyFont="1" applyFill="1" applyBorder="1" applyAlignment="1">
      <alignment vertical="top" wrapText="1"/>
    </xf>
    <xf numFmtId="0" fontId="15" fillId="3" borderId="33" xfId="0" applyFont="1" applyFill="1" applyBorder="1" applyAlignment="1">
      <alignment vertical="top" wrapText="1"/>
    </xf>
    <xf numFmtId="0" fontId="15" fillId="3" borderId="0" xfId="0" applyFont="1" applyFill="1" applyAlignment="1">
      <alignment vertical="top" wrapText="1"/>
    </xf>
    <xf numFmtId="0" fontId="15" fillId="3" borderId="27" xfId="0" applyFont="1" applyFill="1" applyBorder="1" applyAlignment="1">
      <alignment vertical="top" wrapText="1"/>
    </xf>
    <xf numFmtId="0" fontId="16" fillId="0" borderId="21" xfId="0" applyFont="1" applyBorder="1">
      <alignment vertical="center"/>
    </xf>
    <xf numFmtId="0" fontId="31" fillId="0" borderId="21" xfId="0" applyFont="1" applyBorder="1" applyAlignment="1">
      <alignment horizontal="center" vertical="center" shrinkToFit="1"/>
    </xf>
    <xf numFmtId="178" fontId="27" fillId="0" borderId="0" xfId="0" quotePrefix="1" applyNumberFormat="1" applyFont="1" applyAlignment="1">
      <alignment horizontal="center" vertical="center" shrinkToFit="1"/>
    </xf>
    <xf numFmtId="0" fontId="26" fillId="0" borderId="21" xfId="0" applyFont="1" applyBorder="1" applyAlignment="1">
      <alignment horizontal="center" vertical="center" wrapText="1" shrinkToFit="1"/>
    </xf>
    <xf numFmtId="0" fontId="27" fillId="0" borderId="34" xfId="0" applyFont="1" applyBorder="1" applyAlignment="1">
      <alignment horizontal="center" vertical="center" wrapText="1" shrinkToFit="1"/>
    </xf>
    <xf numFmtId="0" fontId="27" fillId="0" borderId="25" xfId="0" applyFont="1" applyBorder="1" applyAlignment="1">
      <alignment horizontal="center" vertical="center" wrapText="1" shrinkToFit="1"/>
    </xf>
    <xf numFmtId="0" fontId="26" fillId="0" borderId="21" xfId="0" applyFont="1" applyBorder="1" applyAlignment="1">
      <alignment vertical="center" shrinkToFit="1"/>
    </xf>
    <xf numFmtId="0" fontId="28" fillId="0" borderId="21" xfId="0" applyFont="1" applyBorder="1" applyAlignment="1">
      <alignment horizontal="center" vertical="center" wrapText="1" shrinkToFit="1"/>
    </xf>
    <xf numFmtId="0" fontId="28" fillId="0" borderId="21" xfId="0" applyFont="1" applyBorder="1" applyAlignment="1">
      <alignment horizontal="center" vertical="center" shrinkToFit="1"/>
    </xf>
    <xf numFmtId="0" fontId="15" fillId="0" borderId="32" xfId="0" applyFont="1" applyBorder="1" applyAlignment="1">
      <alignment horizontal="left" vertical="top" wrapText="1"/>
    </xf>
    <xf numFmtId="0" fontId="15" fillId="0" borderId="3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7" xfId="0" applyFont="1" applyBorder="1" applyAlignment="1">
      <alignment horizontal="left" vertical="top" wrapText="1"/>
    </xf>
    <xf numFmtId="178" fontId="26" fillId="0" borderId="21" xfId="0" quotePrefix="1" applyNumberFormat="1" applyFont="1" applyBorder="1" applyAlignment="1">
      <alignment vertical="center" shrinkToFit="1"/>
    </xf>
    <xf numFmtId="178" fontId="28" fillId="0" borderId="32" xfId="0" quotePrefix="1" applyNumberFormat="1" applyFont="1" applyBorder="1" applyAlignment="1">
      <alignment horizontal="center" vertical="center" shrinkToFit="1"/>
    </xf>
    <xf numFmtId="178" fontId="28" fillId="0" borderId="0" xfId="0" quotePrefix="1" applyNumberFormat="1" applyFont="1" applyAlignment="1">
      <alignment horizontal="center" vertical="center" shrinkToFit="1"/>
    </xf>
    <xf numFmtId="0" fontId="24" fillId="0" borderId="21" xfId="0" applyFont="1" applyBorder="1" applyAlignment="1">
      <alignment horizontal="left" vertical="center" wrapText="1" shrinkToFit="1"/>
    </xf>
    <xf numFmtId="178" fontId="26" fillId="0" borderId="32" xfId="0" quotePrefix="1" applyNumberFormat="1" applyFont="1" applyBorder="1" applyAlignment="1">
      <alignment horizontal="center" vertical="center" shrinkToFit="1"/>
    </xf>
    <xf numFmtId="0" fontId="32" fillId="3" borderId="21" xfId="0" applyFont="1" applyFill="1" applyBorder="1" applyAlignment="1">
      <alignment vertical="center" shrinkToFit="1"/>
    </xf>
    <xf numFmtId="178" fontId="26" fillId="3" borderId="21" xfId="0" quotePrefix="1" applyNumberFormat="1" applyFont="1" applyFill="1" applyBorder="1" applyAlignment="1">
      <alignment horizontal="center" vertical="center" shrinkToFit="1"/>
    </xf>
    <xf numFmtId="178" fontId="28" fillId="3" borderId="21" xfId="0" quotePrefix="1" applyNumberFormat="1" applyFont="1" applyFill="1" applyBorder="1" applyAlignment="1">
      <alignment horizontal="center" vertical="center" shrinkToFit="1"/>
    </xf>
    <xf numFmtId="178" fontId="26" fillId="3" borderId="21" xfId="0" quotePrefix="1" applyNumberFormat="1" applyFont="1" applyFill="1" applyBorder="1" applyAlignment="1">
      <alignment vertical="center" shrinkToFit="1"/>
    </xf>
    <xf numFmtId="178" fontId="27" fillId="3" borderId="32" xfId="0" quotePrefix="1" applyNumberFormat="1" applyFont="1" applyFill="1" applyBorder="1" applyAlignment="1">
      <alignment horizontal="center" vertical="center" shrinkToFit="1"/>
    </xf>
    <xf numFmtId="0" fontId="18" fillId="0" borderId="32" xfId="0" applyFont="1" applyBorder="1" applyAlignment="1">
      <alignment vertical="top" wrapText="1"/>
    </xf>
    <xf numFmtId="0" fontId="18" fillId="0" borderId="33" xfId="0" applyFont="1" applyBorder="1" applyAlignment="1">
      <alignment vertical="top" wrapText="1"/>
    </xf>
    <xf numFmtId="178" fontId="27" fillId="3" borderId="34" xfId="0" quotePrefix="1" applyNumberFormat="1" applyFont="1" applyFill="1" applyBorder="1" applyAlignment="1">
      <alignment horizontal="center" vertical="center" shrinkToFit="1"/>
    </xf>
    <xf numFmtId="178" fontId="27" fillId="3" borderId="25" xfId="0" quotePrefix="1" applyNumberFormat="1" applyFont="1" applyFill="1" applyBorder="1" applyAlignment="1">
      <alignment horizontal="center" vertical="center" shrinkToFit="1"/>
    </xf>
    <xf numFmtId="0" fontId="33" fillId="0" borderId="21" xfId="0" applyFont="1" applyBorder="1" applyAlignment="1">
      <alignment horizontal="left" vertical="center" wrapText="1" shrinkToFit="1"/>
    </xf>
    <xf numFmtId="178" fontId="27" fillId="0" borderId="34" xfId="0" quotePrefix="1" applyNumberFormat="1" applyFont="1" applyBorder="1" applyAlignment="1">
      <alignment horizontal="center" vertical="center" shrinkToFit="1"/>
    </xf>
    <xf numFmtId="178" fontId="27" fillId="0" borderId="25" xfId="0" quotePrefix="1" applyNumberFormat="1" applyFont="1" applyBorder="1" applyAlignment="1">
      <alignment horizontal="center" vertical="center" shrinkToFit="1"/>
    </xf>
    <xf numFmtId="0" fontId="34" fillId="0" borderId="32" xfId="0" applyFont="1" applyBorder="1" applyAlignment="1">
      <alignment vertical="top" wrapText="1"/>
    </xf>
    <xf numFmtId="0" fontId="34" fillId="0" borderId="33" xfId="0" applyFont="1" applyBorder="1" applyAlignment="1">
      <alignment vertical="top" wrapText="1"/>
    </xf>
    <xf numFmtId="178" fontId="26" fillId="3" borderId="0" xfId="0" quotePrefix="1" applyNumberFormat="1" applyFont="1" applyFill="1" applyAlignment="1">
      <alignment horizontal="center" vertical="center" shrinkToFit="1"/>
    </xf>
    <xf numFmtId="0" fontId="34" fillId="0" borderId="0" xfId="0" applyFont="1" applyAlignment="1">
      <alignment vertical="top" wrapText="1"/>
    </xf>
    <xf numFmtId="0" fontId="34" fillId="0" borderId="27" xfId="0" applyFont="1" applyBorder="1" applyAlignment="1">
      <alignment vertical="top" wrapText="1"/>
    </xf>
    <xf numFmtId="0" fontId="15" fillId="3" borderId="32" xfId="0" applyFont="1" applyFill="1" applyBorder="1" applyAlignment="1">
      <alignment horizontal="left" vertical="top" wrapText="1"/>
    </xf>
    <xf numFmtId="0" fontId="15" fillId="3" borderId="33" xfId="0" applyFont="1" applyFill="1" applyBorder="1" applyAlignment="1">
      <alignment horizontal="left" vertical="top" wrapText="1"/>
    </xf>
    <xf numFmtId="0" fontId="35" fillId="0" borderId="0" xfId="0" applyFont="1">
      <alignment vertical="center"/>
    </xf>
    <xf numFmtId="0" fontId="3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36" fillId="4" borderId="0" xfId="0" applyFont="1" applyFill="1" applyAlignment="1">
      <alignment horizontal="center" vertical="center" shrinkToFit="1"/>
    </xf>
    <xf numFmtId="56" fontId="36" fillId="4" borderId="0" xfId="0" applyNumberFormat="1" applyFont="1" applyFill="1" applyAlignment="1">
      <alignment horizontal="center" vertical="center" shrinkToFit="1"/>
    </xf>
    <xf numFmtId="0" fontId="37" fillId="5" borderId="0" xfId="0" applyFont="1" applyFill="1" applyAlignment="1">
      <alignment horizontal="center" vertical="center" shrinkToFit="1"/>
    </xf>
    <xf numFmtId="0" fontId="38" fillId="0" borderId="0" xfId="0" applyFont="1">
      <alignment vertical="center"/>
    </xf>
    <xf numFmtId="0" fontId="39" fillId="6" borderId="0" xfId="0" applyFont="1" applyFill="1" applyAlignment="1">
      <alignment horizontal="center" vertical="center"/>
    </xf>
    <xf numFmtId="0" fontId="39" fillId="7" borderId="0" xfId="0" applyFont="1" applyFill="1" applyAlignment="1">
      <alignment horizontal="center" vertical="center" shrinkToFit="1"/>
    </xf>
    <xf numFmtId="0" fontId="39" fillId="7" borderId="0" xfId="0" applyFont="1" applyFill="1" applyAlignment="1">
      <alignment vertical="center" shrinkToFit="1"/>
    </xf>
    <xf numFmtId="0" fontId="36" fillId="8" borderId="21" xfId="0" applyFont="1" applyFill="1" applyBorder="1" applyAlignment="1">
      <alignment horizontal="center" vertical="center"/>
    </xf>
    <xf numFmtId="0" fontId="40" fillId="9" borderId="21" xfId="0" applyFont="1" applyFill="1" applyBorder="1" applyAlignment="1">
      <alignment horizontal="center" vertical="center"/>
    </xf>
    <xf numFmtId="0" fontId="40" fillId="5" borderId="21" xfId="0" applyFont="1" applyFill="1" applyBorder="1" applyAlignment="1">
      <alignment horizontal="center" vertical="center" shrinkToFit="1"/>
    </xf>
    <xf numFmtId="20" fontId="40" fillId="10" borderId="21" xfId="0" applyNumberFormat="1" applyFont="1" applyFill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 wrapText="1"/>
    </xf>
    <xf numFmtId="177" fontId="9" fillId="0" borderId="38" xfId="0" applyNumberFormat="1" applyFont="1" applyBorder="1" applyAlignment="1">
      <alignment horizontal="center" vertical="center" wrapText="1"/>
    </xf>
    <xf numFmtId="177" fontId="9" fillId="0" borderId="39" xfId="0" applyNumberFormat="1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3" fillId="0" borderId="41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/>
    </xf>
    <xf numFmtId="0" fontId="3" fillId="0" borderId="45" xfId="0" applyFont="1" applyFill="1" applyBorder="1" applyAlignment="1">
      <alignment vertical="center"/>
    </xf>
    <xf numFmtId="0" fontId="5" fillId="0" borderId="46" xfId="0" applyFont="1" applyFill="1" applyBorder="1" applyAlignment="1">
      <alignment vertical="center" wrapText="1"/>
    </xf>
    <xf numFmtId="0" fontId="11" fillId="0" borderId="47" xfId="0" applyFont="1" applyFill="1" applyBorder="1" applyAlignment="1">
      <alignment vertical="center" wrapText="1"/>
    </xf>
    <xf numFmtId="0" fontId="5" fillId="0" borderId="48" xfId="0" applyFont="1" applyFill="1" applyBorder="1" applyAlignment="1">
      <alignment horizontal="center" vertical="center"/>
    </xf>
    <xf numFmtId="176" fontId="5" fillId="0" borderId="49" xfId="0" applyNumberFormat="1" applyFont="1" applyFill="1" applyBorder="1" applyAlignment="1">
      <alignment horizontal="center" vertical="center"/>
    </xf>
    <xf numFmtId="0" fontId="5" fillId="0" borderId="50" xfId="0" applyFont="1" applyFill="1" applyBorder="1">
      <alignment vertical="center"/>
    </xf>
    <xf numFmtId="0" fontId="5" fillId="0" borderId="48" xfId="0" applyFont="1" applyFill="1" applyBorder="1">
      <alignment vertical="center"/>
    </xf>
    <xf numFmtId="0" fontId="5" fillId="0" borderId="49" xfId="0" applyFont="1" applyFill="1" applyBorder="1">
      <alignment vertical="center"/>
    </xf>
    <xf numFmtId="0" fontId="11" fillId="11" borderId="51" xfId="0" applyFont="1" applyFill="1" applyBorder="1" applyAlignment="1">
      <alignment vertical="center" wrapText="1"/>
    </xf>
    <xf numFmtId="0" fontId="3" fillId="0" borderId="52" xfId="0" applyFont="1" applyFill="1" applyBorder="1" applyAlignment="1">
      <alignment vertical="center"/>
    </xf>
    <xf numFmtId="0" fontId="5" fillId="0" borderId="53" xfId="0" applyFont="1" applyFill="1" applyBorder="1" applyAlignment="1">
      <alignment vertical="center" wrapText="1"/>
    </xf>
    <xf numFmtId="0" fontId="11" fillId="0" borderId="24" xfId="0" applyFont="1" applyFill="1" applyBorder="1" applyAlignment="1">
      <alignment vertical="center" wrapText="1"/>
    </xf>
    <xf numFmtId="0" fontId="5" fillId="0" borderId="54" xfId="0" applyFont="1" applyFill="1" applyBorder="1" applyAlignment="1">
      <alignment horizontal="center" vertical="center"/>
    </xf>
    <xf numFmtId="176" fontId="5" fillId="0" borderId="55" xfId="0" applyNumberFormat="1" applyFont="1" applyFill="1" applyBorder="1" applyAlignment="1">
      <alignment horizontal="center" vertical="center"/>
    </xf>
    <xf numFmtId="0" fontId="5" fillId="0" borderId="21" xfId="0" applyFont="1" applyFill="1" applyBorder="1">
      <alignment vertical="center"/>
    </xf>
    <xf numFmtId="0" fontId="5" fillId="0" borderId="54" xfId="0" applyFont="1" applyFill="1" applyBorder="1">
      <alignment vertical="center"/>
    </xf>
    <xf numFmtId="0" fontId="5" fillId="0" borderId="55" xfId="0" applyFont="1" applyFill="1" applyBorder="1">
      <alignment vertical="center"/>
    </xf>
    <xf numFmtId="0" fontId="11" fillId="11" borderId="56" xfId="0" applyFont="1" applyFill="1" applyBorder="1" applyAlignment="1">
      <alignment vertical="center" wrapText="1"/>
    </xf>
    <xf numFmtId="0" fontId="5" fillId="0" borderId="57" xfId="0" applyFont="1" applyFill="1" applyBorder="1" applyAlignment="1">
      <alignment horizontal="center" vertical="center"/>
    </xf>
    <xf numFmtId="176" fontId="5" fillId="0" borderId="58" xfId="0" applyNumberFormat="1" applyFont="1" applyFill="1" applyBorder="1" applyAlignment="1">
      <alignment horizontal="center" vertical="center"/>
    </xf>
    <xf numFmtId="0" fontId="5" fillId="0" borderId="18" xfId="0" applyFont="1" applyFill="1" applyBorder="1">
      <alignment vertical="center"/>
    </xf>
    <xf numFmtId="0" fontId="5" fillId="0" borderId="57" xfId="0" applyFont="1" applyFill="1" applyBorder="1">
      <alignment vertical="center"/>
    </xf>
    <xf numFmtId="0" fontId="5" fillId="0" borderId="58" xfId="0" applyFont="1" applyFill="1" applyBorder="1">
      <alignment vertical="center"/>
    </xf>
    <xf numFmtId="0" fontId="5" fillId="0" borderId="59" xfId="0" applyFont="1" applyFill="1" applyBorder="1" applyAlignment="1">
      <alignment horizontal="center" vertical="center"/>
    </xf>
    <xf numFmtId="176" fontId="5" fillId="0" borderId="60" xfId="0" applyNumberFormat="1" applyFont="1" applyFill="1" applyBorder="1" applyAlignment="1">
      <alignment horizontal="center" vertical="center"/>
    </xf>
    <xf numFmtId="0" fontId="5" fillId="0" borderId="61" xfId="0" applyFont="1" applyFill="1" applyBorder="1">
      <alignment vertical="center"/>
    </xf>
    <xf numFmtId="0" fontId="5" fillId="0" borderId="59" xfId="0" applyFont="1" applyFill="1" applyBorder="1">
      <alignment vertical="center"/>
    </xf>
    <xf numFmtId="0" fontId="5" fillId="0" borderId="60" xfId="0" applyFont="1" applyFill="1" applyBorder="1">
      <alignment vertical="center"/>
    </xf>
    <xf numFmtId="0" fontId="11" fillId="11" borderId="62" xfId="0" applyFont="1" applyFill="1" applyBorder="1" applyAlignment="1">
      <alignment vertical="center" wrapText="1"/>
    </xf>
    <xf numFmtId="0" fontId="3" fillId="0" borderId="63" xfId="0" applyFont="1" applyFill="1" applyBorder="1" applyAlignment="1">
      <alignment vertical="center"/>
    </xf>
    <xf numFmtId="0" fontId="5" fillId="0" borderId="64" xfId="0" applyFont="1" applyFill="1" applyBorder="1" applyAlignment="1">
      <alignment vertical="center" wrapText="1"/>
    </xf>
    <xf numFmtId="0" fontId="11" fillId="0" borderId="65" xfId="0" applyFont="1" applyFill="1" applyBorder="1" applyAlignment="1">
      <alignment vertical="center" wrapText="1"/>
    </xf>
    <xf numFmtId="0" fontId="5" fillId="0" borderId="66" xfId="0" applyFont="1" applyFill="1" applyBorder="1" applyAlignment="1">
      <alignment horizontal="center" vertical="center"/>
    </xf>
    <xf numFmtId="176" fontId="5" fillId="0" borderId="67" xfId="0" applyNumberFormat="1" applyFont="1" applyFill="1" applyBorder="1" applyAlignment="1">
      <alignment horizontal="center" vertical="center"/>
    </xf>
    <xf numFmtId="0" fontId="5" fillId="0" borderId="68" xfId="0" applyFont="1" applyFill="1" applyBorder="1">
      <alignment vertical="center"/>
    </xf>
    <xf numFmtId="0" fontId="5" fillId="0" borderId="66" xfId="0" applyFont="1" applyFill="1" applyBorder="1">
      <alignment vertical="center"/>
    </xf>
    <xf numFmtId="0" fontId="5" fillId="0" borderId="67" xfId="0" applyFont="1" applyFill="1" applyBorder="1">
      <alignment vertical="center"/>
    </xf>
    <xf numFmtId="0" fontId="11" fillId="11" borderId="69" xfId="0" applyFont="1" applyFill="1" applyBorder="1" applyAlignment="1">
      <alignment vertical="center" wrapText="1"/>
    </xf>
    <xf numFmtId="0" fontId="3" fillId="0" borderId="70" xfId="0" applyFont="1" applyFill="1" applyBorder="1" applyAlignment="1">
      <alignment vertical="center"/>
    </xf>
    <xf numFmtId="0" fontId="5" fillId="0" borderId="71" xfId="0" applyFont="1" applyFill="1" applyBorder="1" applyAlignment="1">
      <alignment vertical="center" wrapText="1"/>
    </xf>
    <xf numFmtId="0" fontId="11" fillId="0" borderId="72" xfId="0" applyFont="1" applyFill="1" applyBorder="1" applyAlignment="1">
      <alignment vertical="center" wrapText="1"/>
    </xf>
    <xf numFmtId="0" fontId="5" fillId="0" borderId="41" xfId="0" applyFont="1" applyFill="1" applyBorder="1" applyAlignment="1">
      <alignment horizontal="center" vertical="center"/>
    </xf>
    <xf numFmtId="176" fontId="5" fillId="0" borderId="36" xfId="0" applyNumberFormat="1" applyFont="1" applyFill="1" applyBorder="1" applyAlignment="1">
      <alignment horizontal="center" vertical="center"/>
    </xf>
    <xf numFmtId="0" fontId="5" fillId="0" borderId="73" xfId="0" applyFont="1" applyFill="1" applyBorder="1">
      <alignment vertical="center"/>
    </xf>
    <xf numFmtId="0" fontId="5" fillId="0" borderId="41" xfId="0" applyFont="1" applyFill="1" applyBorder="1">
      <alignment vertical="center"/>
    </xf>
    <xf numFmtId="0" fontId="5" fillId="0" borderId="36" xfId="0" applyFont="1" applyFill="1" applyBorder="1">
      <alignment vertical="center"/>
    </xf>
    <xf numFmtId="0" fontId="11" fillId="11" borderId="74" xfId="0" applyFont="1" applyFill="1" applyBorder="1" applyAlignment="1">
      <alignment wrapText="1"/>
    </xf>
    <xf numFmtId="0" fontId="11" fillId="11" borderId="56" xfId="0" applyFont="1" applyFill="1" applyBorder="1" applyAlignment="1">
      <alignment wrapText="1"/>
    </xf>
    <xf numFmtId="0" fontId="11" fillId="11" borderId="74" xfId="0" applyFont="1" applyFill="1" applyBorder="1" applyAlignment="1">
      <alignment vertical="center" wrapText="1"/>
    </xf>
    <xf numFmtId="0" fontId="11" fillId="11" borderId="62" xfId="0" applyFont="1" applyFill="1" applyBorder="1" applyAlignment="1">
      <alignment wrapText="1"/>
    </xf>
    <xf numFmtId="0" fontId="4" fillId="11" borderId="62" xfId="0" applyFont="1" applyFill="1" applyBorder="1" applyAlignment="1">
      <alignment vertical="center" wrapText="1"/>
    </xf>
    <xf numFmtId="0" fontId="4" fillId="11" borderId="56" xfId="0" applyFont="1" applyFill="1" applyBorder="1" applyAlignment="1">
      <alignment vertical="center" wrapText="1"/>
    </xf>
    <xf numFmtId="0" fontId="4" fillId="11" borderId="69" xfId="0" applyFont="1" applyFill="1" applyBorder="1" applyAlignment="1">
      <alignment vertical="center" wrapText="1"/>
    </xf>
    <xf numFmtId="0" fontId="4" fillId="0" borderId="72" xfId="0" applyFont="1" applyFill="1" applyBorder="1" applyAlignment="1">
      <alignment vertical="center" wrapText="1"/>
    </xf>
    <xf numFmtId="0" fontId="4" fillId="11" borderId="74" xfId="0" applyFont="1" applyFill="1" applyBorder="1" applyAlignment="1">
      <alignment vertical="center" wrapText="1"/>
    </xf>
    <xf numFmtId="0" fontId="4" fillId="0" borderId="24" xfId="0" applyFont="1" applyFill="1" applyBorder="1" applyAlignment="1">
      <alignment vertical="center" wrapText="1"/>
    </xf>
    <xf numFmtId="0" fontId="5" fillId="0" borderId="21" xfId="0" applyFont="1" applyFill="1" applyBorder="1" applyAlignment="1">
      <alignment horizontal="right" vertical="center"/>
    </xf>
    <xf numFmtId="0" fontId="4" fillId="0" borderId="65" xfId="0" applyFont="1" applyFill="1" applyBorder="1" applyAlignment="1">
      <alignment vertical="center" wrapText="1"/>
    </xf>
    <xf numFmtId="20" fontId="4" fillId="11" borderId="56" xfId="0" applyNumberFormat="1" applyFont="1" applyFill="1" applyBorder="1" applyAlignment="1">
      <alignment vertical="center" wrapText="1"/>
    </xf>
    <xf numFmtId="0" fontId="5" fillId="0" borderId="54" xfId="0" applyFont="1" applyBorder="1" applyAlignment="1">
      <alignment horizontal="center" vertical="center"/>
    </xf>
    <xf numFmtId="176" fontId="5" fillId="0" borderId="55" xfId="0" applyNumberFormat="1" applyFont="1" applyBorder="1" applyAlignment="1">
      <alignment horizontal="center" vertical="center"/>
    </xf>
    <xf numFmtId="0" fontId="5" fillId="0" borderId="21" xfId="0" applyFont="1" applyBorder="1">
      <alignment vertical="center"/>
    </xf>
    <xf numFmtId="0" fontId="5" fillId="0" borderId="54" xfId="0" applyFont="1" applyBorder="1">
      <alignment vertical="center"/>
    </xf>
    <xf numFmtId="0" fontId="5" fillId="0" borderId="55" xfId="0" applyFont="1" applyBorder="1">
      <alignment vertical="center"/>
    </xf>
    <xf numFmtId="0" fontId="6" fillId="11" borderId="56" xfId="0" applyFont="1" applyFill="1" applyBorder="1">
      <alignment vertical="center"/>
    </xf>
    <xf numFmtId="0" fontId="5" fillId="0" borderId="57" xfId="0" applyFont="1" applyBorder="1" applyAlignment="1">
      <alignment horizontal="center" vertical="center"/>
    </xf>
    <xf numFmtId="176" fontId="5" fillId="0" borderId="58" xfId="0" applyNumberFormat="1" applyFont="1" applyBorder="1" applyAlignment="1">
      <alignment horizontal="center" vertical="center"/>
    </xf>
    <xf numFmtId="0" fontId="5" fillId="0" borderId="18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59" xfId="0" applyFont="1" applyBorder="1" applyAlignment="1">
      <alignment horizontal="center" vertical="center"/>
    </xf>
    <xf numFmtId="176" fontId="5" fillId="0" borderId="60" xfId="0" applyNumberFormat="1" applyFont="1" applyBorder="1" applyAlignment="1">
      <alignment horizontal="center" vertical="center"/>
    </xf>
    <xf numFmtId="0" fontId="5" fillId="0" borderId="61" xfId="0" applyFont="1" applyBorder="1">
      <alignment vertical="center"/>
    </xf>
    <xf numFmtId="0" fontId="5" fillId="0" borderId="59" xfId="0" applyFont="1" applyBorder="1">
      <alignment vertical="center"/>
    </xf>
    <xf numFmtId="0" fontId="5" fillId="0" borderId="60" xfId="0" applyFont="1" applyBorder="1">
      <alignment vertical="center"/>
    </xf>
    <xf numFmtId="0" fontId="6" fillId="11" borderId="62" xfId="0" applyFont="1" applyFill="1" applyBorder="1">
      <alignment vertical="center"/>
    </xf>
    <xf numFmtId="0" fontId="5" fillId="0" borderId="66" xfId="0" applyFont="1" applyBorder="1" applyAlignment="1">
      <alignment horizontal="center" vertical="center"/>
    </xf>
    <xf numFmtId="176" fontId="5" fillId="0" borderId="67" xfId="0" applyNumberFormat="1" applyFont="1" applyBorder="1" applyAlignment="1">
      <alignment horizontal="center" vertical="center"/>
    </xf>
    <xf numFmtId="0" fontId="5" fillId="0" borderId="68" xfId="0" applyFont="1" applyBorder="1">
      <alignment vertical="center"/>
    </xf>
    <xf numFmtId="0" fontId="5" fillId="0" borderId="66" xfId="0" applyFont="1" applyBorder="1">
      <alignment vertical="center"/>
    </xf>
    <xf numFmtId="0" fontId="5" fillId="0" borderId="67" xfId="0" applyFont="1" applyBorder="1">
      <alignment vertical="center"/>
    </xf>
    <xf numFmtId="0" fontId="6" fillId="11" borderId="69" xfId="0" applyFont="1" applyFill="1" applyBorder="1">
      <alignment vertical="center"/>
    </xf>
    <xf numFmtId="0" fontId="3" fillId="0" borderId="70" xfId="0" applyFont="1" applyBorder="1">
      <alignment vertical="center"/>
    </xf>
    <xf numFmtId="0" fontId="4" fillId="0" borderId="71" xfId="0" applyFont="1" applyBorder="1" applyAlignment="1">
      <alignment vertical="center" wrapText="1"/>
    </xf>
    <xf numFmtId="0" fontId="4" fillId="0" borderId="72" xfId="0" applyFont="1" applyBorder="1" applyAlignment="1">
      <alignment vertical="center" wrapText="1"/>
    </xf>
    <xf numFmtId="0" fontId="5" fillId="0" borderId="41" xfId="0" applyFont="1" applyBorder="1" applyAlignment="1">
      <alignment horizontal="center" vertical="center"/>
    </xf>
    <xf numFmtId="176" fontId="5" fillId="0" borderId="36" xfId="0" applyNumberFormat="1" applyFont="1" applyBorder="1" applyAlignment="1">
      <alignment horizontal="center" vertical="center"/>
    </xf>
    <xf numFmtId="0" fontId="5" fillId="0" borderId="73" xfId="0" applyFont="1" applyBorder="1">
      <alignment vertical="center"/>
    </xf>
    <xf numFmtId="0" fontId="5" fillId="0" borderId="41" xfId="0" applyFont="1" applyBorder="1">
      <alignment vertical="center"/>
    </xf>
    <xf numFmtId="0" fontId="5" fillId="0" borderId="36" xfId="0" applyFont="1" applyBorder="1">
      <alignment vertical="center"/>
    </xf>
    <xf numFmtId="0" fontId="6" fillId="11" borderId="74" xfId="0" applyFont="1" applyFill="1" applyBorder="1">
      <alignment vertical="center"/>
    </xf>
    <xf numFmtId="0" fontId="3" fillId="0" borderId="52" xfId="0" applyFont="1" applyBorder="1">
      <alignment vertical="center"/>
    </xf>
    <xf numFmtId="0" fontId="4" fillId="0" borderId="53" xfId="0" applyFont="1" applyBorder="1" applyAlignment="1">
      <alignment vertical="center" wrapText="1"/>
    </xf>
    <xf numFmtId="0" fontId="4" fillId="0" borderId="24" xfId="0" applyFont="1" applyBorder="1" applyAlignment="1">
      <alignment vertical="center" wrapText="1"/>
    </xf>
    <xf numFmtId="0" fontId="3" fillId="0" borderId="63" xfId="0" applyFont="1" applyBorder="1">
      <alignment vertical="center"/>
    </xf>
    <xf numFmtId="0" fontId="4" fillId="0" borderId="64" xfId="0" applyFont="1" applyBorder="1" applyAlignment="1">
      <alignment vertical="center" wrapText="1"/>
    </xf>
    <xf numFmtId="0" fontId="4" fillId="0" borderId="65" xfId="0" applyFont="1" applyBorder="1" applyAlignment="1">
      <alignment vertical="center" wrapText="1"/>
    </xf>
  </cellXfs>
  <cellStyles count="1">
    <cellStyle name="標準" xfId="0" builtinId="0"/>
  </cellStyles>
  <dxfs count="191"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A42700"/>
      </font>
      <fill>
        <gradientFill>
          <stop position="0">
            <color rgb="FFFCB2BD"/>
          </stop>
          <stop position="1">
            <color rgb="FFFFCDE6"/>
          </stop>
        </gradientFill>
      </fill>
    </dxf>
    <dxf>
      <font>
        <b/>
        <i val="0"/>
        <color rgb="FFC00000"/>
      </font>
      <fill>
        <patternFill>
          <bgColor rgb="FFFFCCCC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ill>
        <patternFill>
          <fgColor rgb="FFFFCCFF"/>
          <bgColor rgb="FFFFCCFF"/>
        </patternFill>
      </fill>
    </dxf>
    <dxf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/>
        <i val="0"/>
        <color rgb="FFA42700"/>
      </font>
      <fill>
        <gradientFill>
          <stop position="0">
            <color rgb="FFFCB2BD"/>
          </stop>
          <stop position="1">
            <color rgb="FFFFCDE6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39</xdr:col>
      <xdr:colOff>381000</xdr:colOff>
      <xdr:row>53</xdr:row>
      <xdr:rowOff>0</xdr:rowOff>
    </xdr:from>
    <xdr:ext cx="29999047" cy="1251048"/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7C2F2C85-8DD5-46D9-8A25-239E39E20671}"/>
            </a:ext>
          </a:extLst>
        </xdr:cNvPr>
        <xdr:cNvSpPr/>
      </xdr:nvSpPr>
      <xdr:spPr>
        <a:xfrm>
          <a:off x="67894200" y="29077920"/>
          <a:ext cx="29999047" cy="125104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ja-JP" alt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ここに文字を入力</a:t>
          </a:r>
        </a:p>
      </xdr:txBody>
    </xdr:sp>
    <xdr:clientData/>
  </xdr:oneCellAnchor>
  <xdr:oneCellAnchor>
    <xdr:from>
      <xdr:col>39</xdr:col>
      <xdr:colOff>381000</xdr:colOff>
      <xdr:row>53</xdr:row>
      <xdr:rowOff>0</xdr:rowOff>
    </xdr:from>
    <xdr:ext cx="29999047" cy="1251048"/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8C4A0785-B531-4648-9D00-DDAED55DBC9D}"/>
            </a:ext>
          </a:extLst>
        </xdr:cNvPr>
        <xdr:cNvSpPr/>
      </xdr:nvSpPr>
      <xdr:spPr>
        <a:xfrm>
          <a:off x="67894200" y="29077920"/>
          <a:ext cx="29999047" cy="125104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ja-JP" altLang="en-US" sz="54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ここに文字を入力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472440</xdr:colOff>
          <xdr:row>6</xdr:row>
          <xdr:rowOff>114300</xdr:rowOff>
        </xdr:from>
        <xdr:to>
          <xdr:col>8</xdr:col>
          <xdr:colOff>480060</xdr:colOff>
          <xdr:row>9</xdr:row>
          <xdr:rowOff>152400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6</xdr:row>
          <xdr:rowOff>106680</xdr:rowOff>
        </xdr:from>
        <xdr:to>
          <xdr:col>11</xdr:col>
          <xdr:colOff>213360</xdr:colOff>
          <xdr:row>9</xdr:row>
          <xdr:rowOff>144780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dc-tcffsvg-001\&#26481;&#20140;2020\15.&#36664;&#36865;&#23616;\45_&#20250;&#22580;&#36664;&#36865;&#32113;&#25324;&#35506;\01_&#20250;&#22580;&#36664;&#36865;&#32113;&#25324;&#12481;&#12540;&#12512;\72%20&#24246;&#21209;&#20107;&#21209;\TROC(&#20253;&#36948;&#12481;&#12540;&#12512;)\&#26989;&#21209;&#38306;&#36899;\&#30707;&#26449;&#12487;&#12473;&#12463;&#12488;&#12483;&#12503;\&#30707;&#26449;&#20316;&#26989;&#29992;\&#12304;&#12510;&#12463;&#12525;&#12305;T3&#37197;&#36554;\&#26087;\&#26087;&#12288;T3&#34920;&#20316;&#25104;&#12510;&#12463;&#1252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作業用 (2)"/>
      <sheetName val="作業用 (3)"/>
      <sheetName val="フォーマット"/>
      <sheetName val="ピボット用データ(オリ)"/>
      <sheetName val="ピボット用データ"/>
      <sheetName val="ピボット"/>
      <sheetName val="ピボット貼付"/>
      <sheetName val="0825"/>
      <sheetName val="0804"/>
      <sheetName val="0803"/>
      <sheetName val="0804競技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>
        <row r="1">
          <cell r="E1" t="str">
            <v>8月25日</v>
          </cell>
        </row>
      </sheetData>
      <sheetData sheetId="7" refreshError="1"/>
      <sheetData sheetId="8" refreshError="1"/>
      <sheetData sheetId="9" refreshError="1"/>
      <sheetData sheetId="1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T3&#34920;&#20316;&#25104;&#12510;&#12463;&#12525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yaIshimura" refreshedDate="44432.560512615739" createdVersion="6" refreshedVersion="6" minRefreshableVersion="3" recordCount="49">
  <cacheSource type="worksheet">
    <worksheetSource ref="B4:T53" sheet="ピボット用データ" r:id="rId2"/>
  </cacheSource>
  <cacheFields count="19">
    <cacheField name="No" numFmtId="0">
      <sharedItems containsSemiMixedTypes="0" containsString="0" containsNumber="1" containsInteger="1" minValue="1" maxValue="49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</sharedItems>
    </cacheField>
    <cacheField name="Venue1" numFmtId="0">
      <sharedItems count="22">
        <s v="OLS"/>
        <s v="TGY"/>
        <s v="YNS"/>
        <s v="NBK"/>
        <s v="TIF"/>
        <s v="EQP"/>
        <s v="MFS"/>
        <s v="ARA"/>
        <s v="AGC"/>
        <s v="ART"/>
        <s v="OMP"/>
        <s v="AUP"/>
        <s v="SFW"/>
        <s v="YAF"/>
        <s v="TAC"/>
        <s v="MMA"/>
        <s v="MMC"/>
        <s v="MMB"/>
        <s v="ASR"/>
        <s v="IVD"/>
        <s v="FSW"/>
        <s v="ＭＭＣ" u="1"/>
      </sharedItems>
    </cacheField>
    <cacheField name="Venue2" numFmtId="0">
      <sharedItems count="21">
        <s v="Olympic Stadium"/>
        <s v="Tokyo Metropolitan Gymnasium"/>
        <s v="Yoyogi National Stadium"/>
        <s v="Nippon Budokan"/>
        <s v="Tokyo International Forum"/>
        <s v="Equestrian Park"/>
        <s v="Musashino Forest Sport Plaza"/>
        <s v="Ariake Arena"/>
        <s v="Ariake Gymnastics Centre"/>
        <s v="Ariake Tennis Park"/>
        <s v="Odaiba Marine Park"/>
        <s v="Aomi Urban Sports Park"/>
        <s v="Sea Forest Waterway"/>
        <s v="Yumenoshima Park Archery Field"/>
        <s v="Tokyo Aquatics Centre"/>
        <s v="Makuhari Messe Hall A"/>
        <s v="Makuhari Messe Hall C"/>
        <s v="Makuhari Messe Hall B"/>
        <s v="Asaka Shooting Range"/>
        <s v="Izu Velodrome"/>
        <s v="Fuji International Speedway"/>
      </sharedItems>
    </cacheField>
    <cacheField name="Venue3" numFmtId="0">
      <sharedItems/>
    </cacheField>
    <cacheField name="Venue４" numFmtId="0">
      <sharedItems/>
    </cacheField>
    <cacheField name="Sports/Discipline" numFmtId="0">
      <sharedItems count="23">
        <s v="Opening and Closing Ceremonies"/>
        <s v="Athletics"/>
        <s v="Table Tennis"/>
        <s v="Badminton"/>
        <s v="Wheelchair Rugby"/>
        <s v="Judo"/>
        <s v="Powerlifting"/>
        <s v="Equestrian"/>
        <s v="Wheelchair Basketball"/>
        <s v="Boccia"/>
        <s v="Wheelchair Tennis"/>
        <s v="Triathlon"/>
        <s v="Football 5-a-side"/>
        <s v="Canoe"/>
        <s v="Rowing"/>
        <s v="Archery"/>
        <s v="Swimming"/>
        <s v="Sitting Volleyball"/>
        <s v="Goalball"/>
        <s v="Taekwondo"/>
        <s v="Wheelchair Fencing"/>
        <s v="Shooting"/>
        <s v="Cycling"/>
      </sharedItems>
    </cacheField>
    <cacheField name="競技名" numFmtId="0">
      <sharedItems/>
    </cacheField>
    <cacheField name="8月25日" numFmtId="0">
      <sharedItems containsBlank="1"/>
    </cacheField>
    <cacheField name="8月26日" numFmtId="0">
      <sharedItems containsBlank="1" count="22">
        <m/>
        <s v="09:00 - 14:20"/>
        <s v="16:00 - 22:00"/>
        <s v="11:30 - 15:45"/>
        <s v="17:30 - 21:45"/>
        <s v="11:00 - 14:20"/>
        <s v="16:30 - 19:40"/>
        <s v="16:00 - 23:30"/>
        <s v="09:00 - 13:00"/>
        <s v="14:45 - 18:45"/>
        <s v="20:30 - 22:15"/>
        <s v="09:00 - 11:25"/>
        <s v="17:00 - 20:35"/>
        <s v="09:00 - 11:45"/>
        <s v="13:15 - 16:00"/>
        <s v="09:00 - 15:40"/>
        <s v="17:00 - 21:45"/>
        <s v="10:00 - 16:30"/>
        <s v="Court 2" u="1"/>
        <s v="Center Court" u="1"/>
        <s v="Court 3-9" u="1"/>
        <s v="Court 1" u="1"/>
      </sharedItems>
    </cacheField>
    <cacheField name="8月27日" numFmtId="0">
      <sharedItems containsBlank="1" count="29">
        <m/>
        <s v="09:30 - 12:50"/>
        <s v="19:00 - 22:00"/>
        <s v="09:00 - 14:20"/>
        <s v="16:00 - 22:00"/>
        <s v="11:30 - 15:45"/>
        <s v="17:30 - 21:45"/>
        <s v="10:30 - 13:30"/>
        <s v="16:00 - 18:40"/>
        <s v="11:00 - 14:20"/>
        <s v="16:30 - 19:50"/>
        <s v="16:00 - 22:45"/>
        <s v="09:00 - 13:00"/>
        <s v="14:45 - 18:45"/>
        <s v="20:30 - 22:15"/>
        <s v="11:00 - 20:00"/>
        <s v="09:30 - 12:10"/>
        <s v="09:00 - 12:00"/>
        <s v="14:00 - 17:00"/>
        <s v="09:00 - 11:10"/>
        <s v="17:00 - 20:30"/>
        <s v="10:00 - 11:30"/>
        <s v="14:00 - 15:30"/>
        <s v="18:30 - 22:00"/>
        <s v="09:00 - 11:45"/>
        <s v="13:15 - 16:00"/>
        <s v="08:30 - 16:00"/>
        <s v="17:30 - 21:15"/>
        <s v="10:00 - 16:15"/>
      </sharedItems>
    </cacheField>
    <cacheField name="8月28日" numFmtId="0">
      <sharedItems containsBlank="1" count="31">
        <m/>
        <s v="09:30 - 12:50"/>
        <s v="19:00 - 22:00"/>
        <s v="09:00 - 15:00"/>
        <s v="16:30 - 21:30"/>
        <s v="11:30 - 16:00"/>
        <s v="17:30 - 21:45"/>
        <s v="10:30 - 13:30"/>
        <s v="16:00 - 18:40"/>
        <s v="11:00 - 14:15"/>
        <s v="16:30 - 19:45"/>
        <s v="17:00 - 22:10"/>
        <s v="09:00 - 13:00"/>
        <s v="14:45 - 18:45"/>
        <s v="20:30 - 22:15"/>
        <s v="09:30-14:20"/>
        <s v="16:00-20:50"/>
        <s v="11:00 - 20:00"/>
        <s v="06:30 - 11:00"/>
        <s v="09:30 - 12:10"/>
        <s v="09:00 - 14:55"/>
        <s v="17:30 - 20:15"/>
        <s v="09:00 - 11:35"/>
        <s v="17:00 - 20:40"/>
        <s v="10:00 - 11:30"/>
        <s v="14:00 - 15:30"/>
        <s v="18:30 - 22:00"/>
        <s v="09:00 - 11:45"/>
        <s v="13:15 - 16:00"/>
        <s v="16:30 - 21:15"/>
        <s v="10:00 - 12:50"/>
      </sharedItems>
    </cacheField>
    <cacheField name="8月29日" numFmtId="0">
      <sharedItems containsBlank="1"/>
    </cacheField>
    <cacheField name="8月30日" numFmtId="0">
      <sharedItems containsBlank="1"/>
    </cacheField>
    <cacheField name="8月31日" numFmtId="0">
      <sharedItems containsBlank="1"/>
    </cacheField>
    <cacheField name="9月1日" numFmtId="0">
      <sharedItems containsBlank="1"/>
    </cacheField>
    <cacheField name="9月2日" numFmtId="0">
      <sharedItems containsBlank="1"/>
    </cacheField>
    <cacheField name="9月3日" numFmtId="0">
      <sharedItems containsBlank="1"/>
    </cacheField>
    <cacheField name="9月4日" numFmtId="0">
      <sharedItems containsBlank="1"/>
    </cacheField>
    <cacheField name="9月5日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9">
  <r>
    <x v="0"/>
    <x v="0"/>
    <x v="0"/>
    <s v="OLS"/>
    <s v="オリンピックスタジアム"/>
    <x v="0"/>
    <s v="開閉式"/>
    <m/>
    <x v="0"/>
    <x v="0"/>
    <x v="0"/>
    <m/>
    <m/>
    <m/>
    <m/>
    <m/>
    <m/>
    <m/>
    <s v="20:00 - 22:30"/>
  </r>
  <r>
    <x v="1"/>
    <x v="0"/>
    <x v="0"/>
    <s v="OLS"/>
    <s v="オリンピックスタジアム"/>
    <x v="1"/>
    <s v="陸上競技"/>
    <m/>
    <x v="0"/>
    <x v="1"/>
    <x v="1"/>
    <s v="09:30 - 12:50"/>
    <s v="09:30 - 13:00"/>
    <s v="09:30 - 12:45"/>
    <s v="09:30 - 12:40"/>
    <s v="09:30 - 12:55"/>
    <s v="09:30 - 12:55"/>
    <s v="09:30 - 12:40"/>
    <m/>
  </r>
  <r>
    <x v="2"/>
    <x v="0"/>
    <x v="0"/>
    <s v="OLS"/>
    <s v="オリンピックスタジアム"/>
    <x v="1"/>
    <s v="陸上競技"/>
    <m/>
    <x v="0"/>
    <x v="2"/>
    <x v="2"/>
    <s v="19:00 - 22:05"/>
    <s v="19:00 - 22:00"/>
    <s v="19:00 - 22:05"/>
    <s v="19:00 - 21:50"/>
    <s v="19:00 - 22:05"/>
    <s v="19:00 - 21:55"/>
    <s v="19:00 - 22:00"/>
    <m/>
  </r>
  <r>
    <x v="3"/>
    <x v="0"/>
    <x v="0"/>
    <s v="OLS"/>
    <s v="オリンピックスタジアム"/>
    <x v="1"/>
    <s v="マラソン"/>
    <m/>
    <x v="0"/>
    <x v="0"/>
    <x v="0"/>
    <m/>
    <m/>
    <m/>
    <m/>
    <m/>
    <m/>
    <m/>
    <s v="06:30 - 11:30"/>
  </r>
  <r>
    <x v="4"/>
    <x v="1"/>
    <x v="1"/>
    <s v="TGY"/>
    <s v="東京体育館"/>
    <x v="2"/>
    <s v="卓球"/>
    <s v="09:00 - 14:20"/>
    <x v="1"/>
    <x v="3"/>
    <x v="3"/>
    <s v="10:00 - 14:00"/>
    <s v="10:00 - 14:00"/>
    <s v="10:00 - 14:30"/>
    <s v="10:00 - 16:00"/>
    <s v="10:00 - 15:30"/>
    <s v="10:00 - 15:30"/>
    <m/>
    <m/>
  </r>
  <r>
    <x v="5"/>
    <x v="1"/>
    <x v="1"/>
    <s v="TGY"/>
    <s v="東京体育館"/>
    <x v="2"/>
    <s v="卓球"/>
    <s v="16:00 - 21:20"/>
    <x v="2"/>
    <x v="4"/>
    <x v="4"/>
    <s v="16:00 - 20:00"/>
    <s v="16:00 - 20:00"/>
    <s v="16:30 - 21:00"/>
    <s v="17:30 - 21:30"/>
    <s v="17:00 - 21:00"/>
    <s v="17:00 - 21:00"/>
    <m/>
    <m/>
  </r>
  <r>
    <x v="6"/>
    <x v="2"/>
    <x v="2"/>
    <s v="YNS"/>
    <s v="国立代々木競技場"/>
    <x v="3"/>
    <s v="バドミントン"/>
    <m/>
    <x v="0"/>
    <x v="0"/>
    <x v="0"/>
    <m/>
    <m/>
    <m/>
    <s v="18:00 - 22:00"/>
    <s v="09:00 - 21:00"/>
    <s v="09:00 - 21:00"/>
    <s v="09:00 - 21:00"/>
    <s v="09:00 - 14:00"/>
  </r>
  <r>
    <x v="7"/>
    <x v="2"/>
    <x v="2"/>
    <s v="YNS"/>
    <s v="国立代々木競技場"/>
    <x v="4"/>
    <s v="車いすラグビー"/>
    <s v="11:30 - 15:45"/>
    <x v="3"/>
    <x v="5"/>
    <x v="5"/>
    <s v="14:00 - 16:00"/>
    <m/>
    <m/>
    <m/>
    <m/>
    <m/>
    <m/>
    <m/>
  </r>
  <r>
    <x v="8"/>
    <x v="2"/>
    <x v="2"/>
    <s v="YNS"/>
    <s v="国立代々木競技場"/>
    <x v="4"/>
    <s v="車いすラグビー"/>
    <s v="17:30 - 21:45"/>
    <x v="4"/>
    <x v="6"/>
    <x v="6"/>
    <s v="18:00 - 20:15"/>
    <m/>
    <m/>
    <m/>
    <m/>
    <m/>
    <m/>
    <m/>
  </r>
  <r>
    <x v="9"/>
    <x v="3"/>
    <x v="3"/>
    <s v="NBK"/>
    <s v="日本武道館"/>
    <x v="5"/>
    <s v="柔道"/>
    <m/>
    <x v="0"/>
    <x v="7"/>
    <x v="7"/>
    <s v="10:30 -14:00"/>
    <m/>
    <m/>
    <m/>
    <m/>
    <m/>
    <m/>
    <m/>
  </r>
  <r>
    <x v="10"/>
    <x v="3"/>
    <x v="3"/>
    <s v="NBK"/>
    <s v="日本武道館"/>
    <x v="5"/>
    <s v="柔道"/>
    <m/>
    <x v="0"/>
    <x v="8"/>
    <x v="8"/>
    <s v="16:30 - 19:50"/>
    <m/>
    <m/>
    <m/>
    <m/>
    <m/>
    <m/>
    <m/>
  </r>
  <r>
    <x v="11"/>
    <x v="4"/>
    <x v="4"/>
    <s v="TIF"/>
    <s v="東京国際フォーラム"/>
    <x v="6"/>
    <s v="パワーリフティング"/>
    <m/>
    <x v="5"/>
    <x v="9"/>
    <x v="9"/>
    <s v="11:00 - 14:15"/>
    <s v="11:00 - 14:10"/>
    <m/>
    <m/>
    <m/>
    <m/>
    <m/>
    <m/>
  </r>
  <r>
    <x v="12"/>
    <x v="4"/>
    <x v="4"/>
    <s v="TIF"/>
    <s v="東京国際フォーラム"/>
    <x v="6"/>
    <s v="パワーリフティング"/>
    <m/>
    <x v="6"/>
    <x v="10"/>
    <x v="10"/>
    <s v="16:30 - 19:40"/>
    <s v="16:30 - 19:40"/>
    <m/>
    <m/>
    <m/>
    <m/>
    <m/>
    <m/>
  </r>
  <r>
    <x v="13"/>
    <x v="5"/>
    <x v="5"/>
    <s v="EQP"/>
    <s v="馬事公苑"/>
    <x v="7"/>
    <s v="馬術"/>
    <m/>
    <x v="7"/>
    <x v="11"/>
    <x v="11"/>
    <s v="18:00 - 20:45"/>
    <s v="16:00 - 23:15"/>
    <m/>
    <m/>
    <m/>
    <m/>
    <m/>
    <m/>
  </r>
  <r>
    <x v="14"/>
    <x v="6"/>
    <x v="6"/>
    <s v="MFS"/>
    <s v="武蔵野の森総合スポーツプラザ"/>
    <x v="8"/>
    <s v="車いすバスケットボール"/>
    <s v="09:00 - 13:00"/>
    <x v="8"/>
    <x v="12"/>
    <x v="12"/>
    <s v="09:00 - 13:00"/>
    <m/>
    <m/>
    <m/>
    <m/>
    <m/>
    <m/>
    <m/>
  </r>
  <r>
    <x v="15"/>
    <x v="6"/>
    <x v="6"/>
    <s v="MFS"/>
    <s v="武蔵野の森総合スポーツプラザ"/>
    <x v="8"/>
    <s v="車いすバスケットボール"/>
    <s v="14:45 - 18:45"/>
    <x v="9"/>
    <x v="13"/>
    <x v="13"/>
    <s v="14:45 - 18:45"/>
    <m/>
    <m/>
    <m/>
    <m/>
    <m/>
    <m/>
    <m/>
  </r>
  <r>
    <x v="16"/>
    <x v="6"/>
    <x v="6"/>
    <s v="MFS"/>
    <s v="武蔵野の森総合スポーツプラザ"/>
    <x v="8"/>
    <s v="車いすバスケットボール"/>
    <s v="20:30 - 22:15"/>
    <x v="10"/>
    <x v="14"/>
    <x v="14"/>
    <s v="20:30 - 22:15"/>
    <m/>
    <m/>
    <m/>
    <m/>
    <m/>
    <m/>
    <m/>
  </r>
  <r>
    <x v="17"/>
    <x v="7"/>
    <x v="7"/>
    <s v="ARA"/>
    <s v="有明アリーナ"/>
    <x v="8"/>
    <s v="車いすバスケットボール"/>
    <m/>
    <x v="8"/>
    <x v="12"/>
    <x v="12"/>
    <s v="09:00 - 13:00"/>
    <s v="09:00 - 13:00"/>
    <s v="09:00 - 10:45"/>
    <s v="09:00 - 10:45"/>
    <m/>
    <m/>
    <m/>
    <s v="10:00 - 14:30"/>
  </r>
  <r>
    <x v="18"/>
    <x v="7"/>
    <x v="7"/>
    <s v="ARA"/>
    <s v="有明アリーナ"/>
    <x v="8"/>
    <s v="車いすバスケットボール"/>
    <m/>
    <x v="9"/>
    <x v="13"/>
    <x v="13"/>
    <s v="14:45 - 18:45"/>
    <s v="14:45 - 18:45"/>
    <s v="12:30 - 16:30"/>
    <s v="12:30 - 16:30"/>
    <s v="12:30 - 16:30"/>
    <s v="12:30 - 16:30"/>
    <s v="14:15 - 16:00"/>
    <m/>
  </r>
  <r>
    <x v="19"/>
    <x v="7"/>
    <x v="7"/>
    <s v="ARA"/>
    <s v="有明アリーナ"/>
    <x v="8"/>
    <s v="車いすバスケットボール"/>
    <m/>
    <x v="10"/>
    <x v="14"/>
    <x v="14"/>
    <s v="20:30 - 22:15"/>
    <s v="20:30 - 22:15"/>
    <s v="18:15 - 22:15"/>
    <s v="18:15 - 22:15"/>
    <s v="18:15 - 22:15"/>
    <s v="18:15 - 22:15"/>
    <s v="17:45 - 22:15"/>
    <m/>
  </r>
  <r>
    <x v="20"/>
    <x v="8"/>
    <x v="8"/>
    <s v="AGC"/>
    <s v="有明体操競技場"/>
    <x v="9"/>
    <s v="ボッチャ"/>
    <m/>
    <x v="0"/>
    <x v="0"/>
    <x v="15"/>
    <s v="09:30-14:20"/>
    <s v="09:30-14:20"/>
    <s v="09:30-14:20"/>
    <s v="09:30-13:25"/>
    <s v="09:30-12:55"/>
    <s v="09:30-12:55"/>
    <s v="09:30-13:50"/>
    <m/>
  </r>
  <r>
    <x v="21"/>
    <x v="8"/>
    <x v="8"/>
    <s v="AGC"/>
    <s v="有明体操競技場"/>
    <x v="9"/>
    <s v="ボッチャ"/>
    <m/>
    <x v="0"/>
    <x v="0"/>
    <x v="16"/>
    <s v="16:00-20:50"/>
    <s v="16:00-20:50"/>
    <s v="16:00-19:45"/>
    <s v="15:05-19:45"/>
    <s v="14:25-19:45"/>
    <s v="14:25-19:35"/>
    <s v="15:20-21:15"/>
    <m/>
  </r>
  <r>
    <x v="22"/>
    <x v="9"/>
    <x v="9"/>
    <s v="ART"/>
    <s v="有明テニスの森"/>
    <x v="10"/>
    <s v="車いすテニス"/>
    <m/>
    <x v="0"/>
    <x v="15"/>
    <x v="17"/>
    <s v="11:00 - 20:00"/>
    <s v="11:00 - 20:00"/>
    <s v="11:00 - 20:00"/>
    <s v="11:00 - 20:00"/>
    <s v="12:00 - 20:00"/>
    <s v="12:00 - 18:00"/>
    <s v="12:00 - 18:00"/>
    <m/>
  </r>
  <r>
    <x v="23"/>
    <x v="9"/>
    <x v="9"/>
    <s v="ART"/>
    <s v="有明テニスの森"/>
    <x v="10"/>
    <s v="車いすテニス"/>
    <m/>
    <x v="0"/>
    <x v="15"/>
    <x v="17"/>
    <s v="11:00 - 20:00"/>
    <s v="11:00 - 20:00"/>
    <s v="11:00 - 20:00"/>
    <s v="11:00 - 20:00"/>
    <s v="12:00 - 20:00"/>
    <m/>
    <m/>
    <m/>
  </r>
  <r>
    <x v="24"/>
    <x v="9"/>
    <x v="9"/>
    <s v="ART"/>
    <s v="有明テニスの森"/>
    <x v="10"/>
    <s v="車いすテニス"/>
    <m/>
    <x v="0"/>
    <x v="15"/>
    <x v="17"/>
    <s v="11:00 - 20:00"/>
    <s v="11:00 - 20:00"/>
    <s v="11:00 - 20:00"/>
    <s v="11:00 - 20:00"/>
    <m/>
    <m/>
    <m/>
    <m/>
  </r>
  <r>
    <x v="25"/>
    <x v="9"/>
    <x v="9"/>
    <s v="ART"/>
    <s v="有明テニスの森"/>
    <x v="10"/>
    <s v="車いすテニス"/>
    <m/>
    <x v="0"/>
    <x v="15"/>
    <x v="17"/>
    <s v="11:00 - 20:00"/>
    <s v="11:00 - 20:00"/>
    <s v="11:00 - 20:00"/>
    <m/>
    <m/>
    <m/>
    <m/>
    <m/>
  </r>
  <r>
    <x v="26"/>
    <x v="10"/>
    <x v="10"/>
    <s v="OMP"/>
    <s v="お台場海浜公園"/>
    <x v="11"/>
    <s v="トライアスロン"/>
    <m/>
    <x v="0"/>
    <x v="0"/>
    <x v="18"/>
    <s v="06:30 - 11:10"/>
    <m/>
    <m/>
    <m/>
    <m/>
    <m/>
    <m/>
    <m/>
  </r>
  <r>
    <x v="27"/>
    <x v="11"/>
    <x v="11"/>
    <s v="AUP"/>
    <s v="青海アーバンスポーツパーク"/>
    <x v="12"/>
    <s v="5人サッカ－"/>
    <m/>
    <x v="0"/>
    <x v="0"/>
    <x v="0"/>
    <s v="09:00 - 13:00"/>
    <s v="09:00 - 13:00"/>
    <s v="09:00 - 13:00"/>
    <m/>
    <s v="09:00 - 13:00"/>
    <m/>
    <s v="11:30 - 13:00"/>
    <m/>
  </r>
  <r>
    <x v="28"/>
    <x v="11"/>
    <x v="11"/>
    <s v="AUP"/>
    <s v="青海アーバンスポーツパーク"/>
    <x v="12"/>
    <s v="5人サッカ－"/>
    <m/>
    <x v="0"/>
    <x v="0"/>
    <x v="0"/>
    <s v="16:30 - 18:00"/>
    <s v="16:30 - 18:00"/>
    <s v="16:30 - 18:00"/>
    <m/>
    <s v="16:30 - 18:00"/>
    <m/>
    <s v="17:30 - 19:35"/>
    <m/>
  </r>
  <r>
    <x v="29"/>
    <x v="11"/>
    <x v="11"/>
    <s v="AUP"/>
    <s v="青海アーバンスポーツパーク"/>
    <x v="12"/>
    <s v="5人サッカ－"/>
    <m/>
    <x v="0"/>
    <x v="0"/>
    <x v="0"/>
    <s v="19:30 - 21:00"/>
    <s v="19:30 - 21:00"/>
    <s v="19:30 - 21:00"/>
    <m/>
    <s v="19:30 - 21:00"/>
    <m/>
    <m/>
    <m/>
  </r>
  <r>
    <x v="30"/>
    <x v="12"/>
    <x v="12"/>
    <s v="SFW"/>
    <s v="海の森水上競技場"/>
    <x v="13"/>
    <s v="カヌー"/>
    <m/>
    <x v="0"/>
    <x v="0"/>
    <x v="0"/>
    <m/>
    <m/>
    <m/>
    <m/>
    <s v="09:30 - 11:40"/>
    <s v="09:30 - 12:10"/>
    <s v="09:30 - 12:30"/>
    <m/>
  </r>
  <r>
    <x v="31"/>
    <x v="12"/>
    <x v="12"/>
    <s v="SFW"/>
    <s v="海の森水上競技場"/>
    <x v="14"/>
    <s v="ボート"/>
    <m/>
    <x v="0"/>
    <x v="16"/>
    <x v="19"/>
    <s v="09:30 - 12:20"/>
    <m/>
    <m/>
    <m/>
    <m/>
    <m/>
    <m/>
    <m/>
  </r>
  <r>
    <x v="32"/>
    <x v="13"/>
    <x v="13"/>
    <s v="YAF"/>
    <s v="夢の島公園アーチェリー場"/>
    <x v="15"/>
    <s v="アーチェリー"/>
    <m/>
    <x v="0"/>
    <x v="17"/>
    <x v="20"/>
    <s v="09:00 - 12:50"/>
    <s v="09:00 - 14:15"/>
    <s v="09:00 - 14:15"/>
    <m/>
    <s v="10:00 - 14:15"/>
    <s v="10:00 - 14:15"/>
    <s v="10:00 - 12:00"/>
    <m/>
  </r>
  <r>
    <x v="33"/>
    <x v="13"/>
    <x v="13"/>
    <s v="YAF"/>
    <s v="夢の島公園アーチェリー場"/>
    <x v="15"/>
    <s v="アーチェリー"/>
    <m/>
    <x v="0"/>
    <x v="18"/>
    <x v="21"/>
    <s v="17:30 - 20:35"/>
    <s v="17:30 - 21:20"/>
    <s v="17:30 - 21:20"/>
    <m/>
    <s v="17:30 - 19:55"/>
    <s v="17:30 - 21:55"/>
    <s v="17:30 - 20:35"/>
    <m/>
  </r>
  <r>
    <x v="34"/>
    <x v="14"/>
    <x v="14"/>
    <s v="TAC"/>
    <s v="東京アクアティクスセンター"/>
    <x v="16"/>
    <s v="水泳"/>
    <s v="09:00 - 11:45"/>
    <x v="11"/>
    <x v="19"/>
    <x v="22"/>
    <s v="09:00 - 11:25"/>
    <s v="09:00 - 11:25"/>
    <s v="09:00 - 11:30"/>
    <s v="09:00 - 11:20"/>
    <s v="09:00 - 11:35"/>
    <s v="09:00 - 11:35"/>
    <m/>
    <m/>
  </r>
  <r>
    <x v="35"/>
    <x v="14"/>
    <x v="14"/>
    <s v="TAC"/>
    <s v="東京アクアティクスセンター"/>
    <x v="16"/>
    <s v="水泳"/>
    <s v="17:00 - 21:05"/>
    <x v="12"/>
    <x v="20"/>
    <x v="23"/>
    <s v="17:00 - 20:25"/>
    <s v="17:00 - 20:50"/>
    <s v="17:00 - 20:35"/>
    <s v="17:00 - 20:40"/>
    <s v="17:00 - 20:50"/>
    <s v="17:00 - 21:00"/>
    <m/>
    <m/>
  </r>
  <r>
    <x v="36"/>
    <x v="15"/>
    <x v="15"/>
    <s v="MMA"/>
    <s v="幕張メッセA"/>
    <x v="17"/>
    <s v="シッティングバレーボール"/>
    <m/>
    <x v="0"/>
    <x v="21"/>
    <x v="24"/>
    <s v="10:00 - 11:30"/>
    <s v="10:00 - 11:30"/>
    <s v="10:00 - 11:30"/>
    <s v="10:00 - 11:30"/>
    <m/>
    <m/>
    <m/>
    <s v="10:00 - 13:00"/>
  </r>
  <r>
    <x v="37"/>
    <x v="15"/>
    <x v="15"/>
    <s v="MMA"/>
    <s v="幕張メッセA"/>
    <x v="17"/>
    <s v="シッティングバレーボール"/>
    <m/>
    <x v="0"/>
    <x v="22"/>
    <x v="25"/>
    <s v="14:00 - 15:30"/>
    <s v="14:00 - 15:30"/>
    <s v="14:00 - 15:30"/>
    <s v="14:00 - 15:30"/>
    <s v="13:30 - 17:00"/>
    <s v="13:30 - 17:00"/>
    <s v="14:00 - 22:00"/>
    <m/>
  </r>
  <r>
    <x v="38"/>
    <x v="15"/>
    <x v="15"/>
    <s v="MMA"/>
    <s v="幕張メッセA"/>
    <x v="17"/>
    <s v="シッティングバレーボール"/>
    <m/>
    <x v="0"/>
    <x v="23"/>
    <x v="26"/>
    <s v="18:30 - 22:00"/>
    <s v="18:30 - 22:00"/>
    <s v="18:30 - 22:00"/>
    <s v="18:30 - 22:00"/>
    <s v="18:30 - 22:00"/>
    <s v="18:30 - 22:00"/>
    <m/>
    <m/>
  </r>
  <r>
    <x v="39"/>
    <x v="16"/>
    <x v="16"/>
    <s v="MMC"/>
    <s v="幕張メッセＣ"/>
    <x v="18"/>
    <s v="ゴールボール"/>
    <s v="09:00 - 11:45"/>
    <x v="13"/>
    <x v="24"/>
    <x v="27"/>
    <s v="09:00 - 11:45"/>
    <s v="09:00 - 11:45"/>
    <m/>
    <m/>
    <m/>
    <m/>
    <m/>
    <m/>
  </r>
  <r>
    <x v="40"/>
    <x v="16"/>
    <x v="16"/>
    <s v="MMC"/>
    <s v="幕張メッセＣ"/>
    <x v="18"/>
    <s v="ゴールボール"/>
    <s v="13:15 - 16:00"/>
    <x v="14"/>
    <x v="25"/>
    <x v="28"/>
    <s v="13:15 - 16:00"/>
    <s v="13:15 - 16:00"/>
    <s v="13:15 - 16:15"/>
    <s v="13:15 - 16:15"/>
    <s v="13:15 - 16:15"/>
    <s v="13:15 - 16:15"/>
    <m/>
    <m/>
  </r>
  <r>
    <x v="41"/>
    <x v="16"/>
    <x v="16"/>
    <s v="MMC"/>
    <s v="幕張メッセＣ"/>
    <x v="18"/>
    <s v="ゴールボール"/>
    <s v="17:30 - 21:45"/>
    <x v="4"/>
    <x v="6"/>
    <x v="6"/>
    <s v="17:30 - 20:15"/>
    <s v="17:30 - 20:15"/>
    <s v="17:45 - 20:45"/>
    <s v="17:45 - 20:45"/>
    <s v="17:45 - 20:45"/>
    <s v="17:45 - 21:55"/>
    <m/>
    <m/>
  </r>
  <r>
    <x v="42"/>
    <x v="17"/>
    <x v="17"/>
    <s v="MMB"/>
    <s v="幕張メッセB"/>
    <x v="19"/>
    <s v="テコンドー"/>
    <m/>
    <x v="0"/>
    <x v="0"/>
    <x v="0"/>
    <m/>
    <m/>
    <m/>
    <m/>
    <s v="10:00 - 15:00"/>
    <s v="10:00 - 15:00"/>
    <s v="10:00 - 15:00"/>
    <m/>
  </r>
  <r>
    <x v="43"/>
    <x v="17"/>
    <x v="17"/>
    <s v="MMB"/>
    <s v="幕張メッセB"/>
    <x v="19"/>
    <s v="テコンドー"/>
    <m/>
    <x v="0"/>
    <x v="0"/>
    <x v="0"/>
    <m/>
    <m/>
    <m/>
    <m/>
    <s v="17:00 - 22:10"/>
    <s v="17:00 - 22:10"/>
    <s v="17:00 - 22:10"/>
    <m/>
  </r>
  <r>
    <x v="44"/>
    <x v="17"/>
    <x v="17"/>
    <s v="MMB"/>
    <s v="幕張メッセB"/>
    <x v="20"/>
    <s v="車いすフェンシング"/>
    <s v="09:00 - 14:00"/>
    <x v="15"/>
    <x v="26"/>
    <x v="3"/>
    <s v="08:30 - 16:00"/>
    <m/>
    <m/>
    <m/>
    <m/>
    <m/>
    <m/>
    <m/>
  </r>
  <r>
    <x v="45"/>
    <x v="17"/>
    <x v="17"/>
    <s v="MMB"/>
    <s v="幕張メッセB"/>
    <x v="20"/>
    <s v="車いすフェンシング"/>
    <s v="15:30 - 20:15"/>
    <x v="16"/>
    <x v="27"/>
    <x v="29"/>
    <s v="17:30 - 21:15"/>
    <m/>
    <m/>
    <m/>
    <m/>
    <m/>
    <m/>
    <m/>
  </r>
  <r>
    <x v="46"/>
    <x v="18"/>
    <x v="18"/>
    <s v="ASR"/>
    <s v="陸上自衛隊朝霞訓練場"/>
    <x v="21"/>
    <s v="射撃"/>
    <m/>
    <x v="0"/>
    <x v="0"/>
    <x v="0"/>
    <m/>
    <s v="08:30 - 16:45"/>
    <s v="09:30 - 15:30"/>
    <s v="09:30 - 14:45"/>
    <s v="08:45 - 16:45"/>
    <s v="09:30 - 16:30"/>
    <s v="09:30 - 15:45"/>
    <s v="09:30 - 12:30"/>
  </r>
  <r>
    <x v="47"/>
    <x v="19"/>
    <x v="19"/>
    <s v="IVD"/>
    <s v="伊豆ベロドローム"/>
    <x v="22"/>
    <s v="サイクリング（トラック）"/>
    <s v="10:00 - 15:25"/>
    <x v="17"/>
    <x v="28"/>
    <x v="30"/>
    <m/>
    <m/>
    <m/>
    <m/>
    <m/>
    <m/>
    <m/>
    <m/>
  </r>
  <r>
    <x v="48"/>
    <x v="20"/>
    <x v="20"/>
    <s v="FSW"/>
    <s v="富士スピードウェイ"/>
    <x v="22"/>
    <s v="サイクリング（ロード）"/>
    <m/>
    <x v="0"/>
    <x v="0"/>
    <x v="0"/>
    <m/>
    <m/>
    <s v="08:00 - 17:15"/>
    <s v="09:30 - 17:05"/>
    <s v="09:30 - 16:45"/>
    <s v="09:30 - 16:4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ピボットテーブル1" cacheId="0" applyNumberFormats="0" applyBorderFormats="0" applyFontFormats="0" applyPatternFormats="0" applyAlignmentFormats="0" applyWidthHeightFormats="1" dataCaption="値" updatedVersion="6" minRefreshableVersion="3" useAutoFormatting="1" itemPrintTitles="1" createdVersion="6" indent="0" compact="0" compactData="0" multipleFieldFilters="0">
  <location ref="A3:E42" firstHeaderRow="1" firstDataRow="1" firstDataCol="5"/>
  <pivotFields count="19">
    <pivotField axis="axisRow" compact="0" outline="0" showAll="0" sortType="ascending" defaultSubtotal="0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axis="axisRow" compact="0" outline="0" showAll="0" defaultSubtotal="0">
      <items count="22">
        <item x="8"/>
        <item x="7"/>
        <item x="9"/>
        <item x="18"/>
        <item x="11"/>
        <item x="5"/>
        <item x="19"/>
        <item x="6"/>
        <item x="15"/>
        <item x="17"/>
        <item x="3"/>
        <item x="0"/>
        <item x="10"/>
        <item x="12"/>
        <item x="14"/>
        <item x="1"/>
        <item x="4"/>
        <item x="13"/>
        <item x="2"/>
        <item m="1" x="21"/>
        <item x="20"/>
        <item x="16"/>
      </items>
    </pivotField>
    <pivotField axis="axisRow" compact="0" outline="0" showAll="0" defaultSubtotal="0">
      <items count="21">
        <item x="11"/>
        <item x="7"/>
        <item x="8"/>
        <item x="9"/>
        <item x="18"/>
        <item x="5"/>
        <item x="19"/>
        <item x="15"/>
        <item x="17"/>
        <item x="6"/>
        <item x="3"/>
        <item x="10"/>
        <item x="0"/>
        <item x="12"/>
        <item x="14"/>
        <item x="4"/>
        <item x="1"/>
        <item x="2"/>
        <item x="13"/>
        <item x="16"/>
        <item x="2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3">
        <item x="15"/>
        <item x="1"/>
        <item x="3"/>
        <item x="5"/>
        <item x="0"/>
        <item x="14"/>
        <item x="2"/>
        <item x="11"/>
        <item x="4"/>
        <item x="6"/>
        <item x="7"/>
        <item x="8"/>
        <item x="9"/>
        <item x="10"/>
        <item x="12"/>
        <item x="13"/>
        <item x="16"/>
        <item x="17"/>
        <item x="19"/>
        <item x="20"/>
        <item x="18"/>
        <item x="21"/>
        <item x="22"/>
      </items>
    </pivotField>
    <pivotField compact="0" outline="0" showAll="0" defaultSubtotal="0"/>
    <pivotField compact="0" outline="0" showAll="0" defaultSubtotal="0"/>
    <pivotField compact="0" outline="0" showAll="0" defaultSubtotal="0">
      <items count="22">
        <item x="11"/>
        <item x="13"/>
        <item x="8"/>
        <item x="1"/>
        <item x="15"/>
        <item x="17"/>
        <item x="5"/>
        <item x="3"/>
        <item x="14"/>
        <item x="9"/>
        <item x="2"/>
        <item x="7"/>
        <item x="6"/>
        <item x="12"/>
        <item x="16"/>
        <item x="4"/>
        <item x="10"/>
        <item h="1" m="1" x="19"/>
        <item h="1" m="1" x="21"/>
        <item h="1" m="1" x="18"/>
        <item h="1" m="1" x="20"/>
        <item h="1" x="0"/>
      </items>
    </pivotField>
    <pivotField compact="0" outline="0" showAll="0" defaultSubtotal="0">
      <items count="29">
        <item x="26"/>
        <item x="19"/>
        <item x="24"/>
        <item x="17"/>
        <item x="12"/>
        <item x="3"/>
        <item x="16"/>
        <item x="1"/>
        <item x="21"/>
        <item x="28"/>
        <item x="7"/>
        <item x="9"/>
        <item x="15"/>
        <item x="5"/>
        <item x="25"/>
        <item x="22"/>
        <item x="18"/>
        <item x="13"/>
        <item x="8"/>
        <item x="4"/>
        <item x="11"/>
        <item x="10"/>
        <item x="20"/>
        <item x="27"/>
        <item x="6"/>
        <item x="23"/>
        <item x="2"/>
        <item x="14"/>
        <item h="1" x="0"/>
      </items>
    </pivotField>
    <pivotField axis="axisRow" compact="0" outline="0" showAll="0" defaultSubtotal="0">
      <items count="31">
        <item x="18"/>
        <item x="22"/>
        <item x="27"/>
        <item x="12"/>
        <item x="20"/>
        <item x="3"/>
        <item x="19"/>
        <item x="1"/>
        <item x="15"/>
        <item x="24"/>
        <item x="30"/>
        <item x="7"/>
        <item x="9"/>
        <item x="17"/>
        <item x="5"/>
        <item x="28"/>
        <item x="25"/>
        <item x="13"/>
        <item x="8"/>
        <item x="16"/>
        <item x="10"/>
        <item x="29"/>
        <item x="4"/>
        <item x="23"/>
        <item x="11"/>
        <item x="21"/>
        <item x="6"/>
        <item x="26"/>
        <item x="2"/>
        <item x="14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5">
    <field x="0"/>
    <field x="1"/>
    <field x="2"/>
    <field x="5"/>
    <field x="10"/>
  </rowFields>
  <rowItems count="39">
    <i>
      <x v="1"/>
      <x v="11"/>
      <x v="12"/>
      <x v="1"/>
      <x v="7"/>
    </i>
    <i>
      <x v="2"/>
      <x v="11"/>
      <x v="12"/>
      <x v="1"/>
      <x v="28"/>
    </i>
    <i>
      <x v="4"/>
      <x v="15"/>
      <x v="16"/>
      <x v="6"/>
      <x v="5"/>
    </i>
    <i>
      <x v="5"/>
      <x v="15"/>
      <x v="16"/>
      <x v="6"/>
      <x v="22"/>
    </i>
    <i>
      <x v="7"/>
      <x v="18"/>
      <x v="17"/>
      <x v="8"/>
      <x v="14"/>
    </i>
    <i>
      <x v="8"/>
      <x v="18"/>
      <x v="17"/>
      <x v="8"/>
      <x v="26"/>
    </i>
    <i>
      <x v="9"/>
      <x v="10"/>
      <x v="10"/>
      <x v="3"/>
      <x v="11"/>
    </i>
    <i>
      <x v="10"/>
      <x v="10"/>
      <x v="10"/>
      <x v="3"/>
      <x v="18"/>
    </i>
    <i>
      <x v="11"/>
      <x v="16"/>
      <x v="15"/>
      <x v="9"/>
      <x v="12"/>
    </i>
    <i>
      <x v="12"/>
      <x v="16"/>
      <x v="15"/>
      <x v="9"/>
      <x v="20"/>
    </i>
    <i>
      <x v="13"/>
      <x v="5"/>
      <x v="5"/>
      <x v="10"/>
      <x v="24"/>
    </i>
    <i>
      <x v="14"/>
      <x v="7"/>
      <x v="9"/>
      <x v="11"/>
      <x v="3"/>
    </i>
    <i>
      <x v="15"/>
      <x v="7"/>
      <x v="9"/>
      <x v="11"/>
      <x v="17"/>
    </i>
    <i>
      <x v="16"/>
      <x v="7"/>
      <x v="9"/>
      <x v="11"/>
      <x v="29"/>
    </i>
    <i>
      <x v="17"/>
      <x v="1"/>
      <x v="1"/>
      <x v="11"/>
      <x v="3"/>
    </i>
    <i>
      <x v="18"/>
      <x v="1"/>
      <x v="1"/>
      <x v="11"/>
      <x v="17"/>
    </i>
    <i>
      <x v="19"/>
      <x v="1"/>
      <x v="1"/>
      <x v="11"/>
      <x v="29"/>
    </i>
    <i>
      <x v="20"/>
      <x/>
      <x v="2"/>
      <x v="12"/>
      <x v="8"/>
    </i>
    <i>
      <x v="21"/>
      <x/>
      <x v="2"/>
      <x v="12"/>
      <x v="19"/>
    </i>
    <i>
      <x v="22"/>
      <x v="2"/>
      <x v="3"/>
      <x v="13"/>
      <x v="13"/>
    </i>
    <i>
      <x v="23"/>
      <x v="2"/>
      <x v="3"/>
      <x v="13"/>
      <x v="13"/>
    </i>
    <i>
      <x v="24"/>
      <x v="2"/>
      <x v="3"/>
      <x v="13"/>
      <x v="13"/>
    </i>
    <i>
      <x v="25"/>
      <x v="2"/>
      <x v="3"/>
      <x v="13"/>
      <x v="13"/>
    </i>
    <i>
      <x v="26"/>
      <x v="12"/>
      <x v="11"/>
      <x v="7"/>
      <x/>
    </i>
    <i>
      <x v="31"/>
      <x v="13"/>
      <x v="13"/>
      <x v="5"/>
      <x v="6"/>
    </i>
    <i>
      <x v="32"/>
      <x v="17"/>
      <x v="18"/>
      <x/>
      <x v="4"/>
    </i>
    <i>
      <x v="33"/>
      <x v="17"/>
      <x v="18"/>
      <x/>
      <x v="25"/>
    </i>
    <i>
      <x v="34"/>
      <x v="14"/>
      <x v="14"/>
      <x v="16"/>
      <x v="1"/>
    </i>
    <i>
      <x v="35"/>
      <x v="14"/>
      <x v="14"/>
      <x v="16"/>
      <x v="23"/>
    </i>
    <i>
      <x v="36"/>
      <x v="8"/>
      <x v="7"/>
      <x v="17"/>
      <x v="9"/>
    </i>
    <i>
      <x v="37"/>
      <x v="8"/>
      <x v="7"/>
      <x v="17"/>
      <x v="16"/>
    </i>
    <i>
      <x v="38"/>
      <x v="8"/>
      <x v="7"/>
      <x v="17"/>
      <x v="27"/>
    </i>
    <i>
      <x v="39"/>
      <x v="21"/>
      <x v="19"/>
      <x v="20"/>
      <x v="2"/>
    </i>
    <i>
      <x v="40"/>
      <x v="21"/>
      <x v="19"/>
      <x v="20"/>
      <x v="15"/>
    </i>
    <i>
      <x v="41"/>
      <x v="21"/>
      <x v="19"/>
      <x v="20"/>
      <x v="26"/>
    </i>
    <i>
      <x v="44"/>
      <x v="9"/>
      <x v="8"/>
      <x v="19"/>
      <x v="5"/>
    </i>
    <i>
      <x v="45"/>
      <x v="9"/>
      <x v="8"/>
      <x v="19"/>
      <x v="21"/>
    </i>
    <i>
      <x v="47"/>
      <x v="6"/>
      <x v="6"/>
      <x v="22"/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K83"/>
  <sheetViews>
    <sheetView zoomScale="85" zoomScaleNormal="85" workbookViewId="0">
      <pane ySplit="3" topLeftCell="A4" activePane="bottomLeft" state="frozen"/>
      <selection activeCell="J8" sqref="J8"/>
      <selection pane="bottomLeft" activeCell="J8" sqref="J8"/>
    </sheetView>
  </sheetViews>
  <sheetFormatPr defaultColWidth="22.59765625" defaultRowHeight="13.2" x14ac:dyDescent="0.45"/>
  <cols>
    <col min="1" max="1" width="8.69921875" style="1" customWidth="1"/>
    <col min="2" max="2" width="8" style="2" customWidth="1"/>
    <col min="3" max="3" width="13.296875" style="3" bestFit="1" customWidth="1"/>
    <col min="4" max="4" width="9.09765625" style="3" bestFit="1" customWidth="1"/>
    <col min="5" max="5" width="12.19921875" style="4" bestFit="1" customWidth="1"/>
    <col min="6" max="6" width="8.69921875" style="5" customWidth="1"/>
    <col min="7" max="7" width="10.69921875" style="6" customWidth="1"/>
    <col min="8" max="9" width="12.8984375" style="6" customWidth="1"/>
    <col min="10" max="10" width="37" style="7" customWidth="1"/>
    <col min="11" max="11" width="26.796875" style="6" customWidth="1"/>
    <col min="12" max="16384" width="22.59765625" style="6"/>
  </cols>
  <sheetData>
    <row r="1" spans="1:11" ht="13.8" thickBot="1" x14ac:dyDescent="0.5"/>
    <row r="2" spans="1:11" s="4" customFormat="1" ht="24.45" customHeight="1" x14ac:dyDescent="0.45">
      <c r="A2" s="8"/>
      <c r="B2" s="9" t="s">
        <v>0</v>
      </c>
      <c r="C2" s="10"/>
      <c r="D2" s="11" t="s">
        <v>1</v>
      </c>
      <c r="E2" s="12">
        <v>44406</v>
      </c>
      <c r="F2" s="13"/>
      <c r="G2" s="14" t="s">
        <v>2</v>
      </c>
      <c r="H2" s="15" t="s">
        <v>3</v>
      </c>
      <c r="I2" s="16"/>
      <c r="J2" s="17" t="s">
        <v>4</v>
      </c>
    </row>
    <row r="3" spans="1:11" s="4" customFormat="1" ht="13.8" thickBot="1" x14ac:dyDescent="0.5">
      <c r="A3" s="8"/>
      <c r="B3" s="18"/>
      <c r="C3" s="19"/>
      <c r="D3" s="20"/>
      <c r="E3" s="21"/>
      <c r="F3" s="22"/>
      <c r="G3" s="23"/>
      <c r="H3" s="24" t="s">
        <v>5</v>
      </c>
      <c r="I3" s="25" t="s">
        <v>6</v>
      </c>
      <c r="J3" s="26"/>
    </row>
    <row r="4" spans="1:11" s="35" customFormat="1" ht="22.95" customHeight="1" thickTop="1" x14ac:dyDescent="0.45">
      <c r="A4" s="27"/>
      <c r="B4" s="28"/>
      <c r="C4" s="29"/>
      <c r="D4" s="30"/>
      <c r="E4" s="31"/>
      <c r="F4" s="32"/>
      <c r="G4" s="33"/>
      <c r="H4" s="33"/>
      <c r="I4" s="33"/>
      <c r="J4" s="30"/>
      <c r="K4" s="34"/>
    </row>
    <row r="5" spans="1:11" s="35" customFormat="1" ht="22.95" customHeight="1" x14ac:dyDescent="0.45">
      <c r="A5" s="27"/>
      <c r="B5" s="28"/>
      <c r="C5" s="29"/>
      <c r="D5" s="30"/>
      <c r="E5" s="31"/>
      <c r="F5" s="32"/>
      <c r="G5" s="33"/>
      <c r="H5" s="33"/>
      <c r="I5" s="33"/>
      <c r="J5" s="30"/>
      <c r="K5" s="34"/>
    </row>
    <row r="6" spans="1:11" s="35" customFormat="1" ht="22.95" customHeight="1" x14ac:dyDescent="0.45">
      <c r="A6" s="27"/>
      <c r="B6" s="28"/>
      <c r="C6" s="29"/>
      <c r="D6" s="30"/>
      <c r="E6" s="31"/>
      <c r="F6" s="32"/>
      <c r="G6" s="33"/>
      <c r="H6" s="33"/>
      <c r="I6" s="33"/>
      <c r="J6" s="30"/>
      <c r="K6" s="34"/>
    </row>
    <row r="7" spans="1:11" s="35" customFormat="1" ht="22.95" customHeight="1" x14ac:dyDescent="0.45">
      <c r="A7" s="36"/>
      <c r="B7" s="28"/>
      <c r="C7" s="29"/>
      <c r="D7" s="30"/>
      <c r="E7" s="31"/>
      <c r="F7" s="32"/>
      <c r="G7" s="33"/>
      <c r="H7" s="33"/>
      <c r="I7" s="33"/>
      <c r="J7" s="30"/>
      <c r="K7" s="34"/>
    </row>
    <row r="8" spans="1:11" s="35" customFormat="1" ht="22.8" customHeight="1" x14ac:dyDescent="0.45">
      <c r="A8" s="27"/>
      <c r="B8" s="28"/>
      <c r="C8" s="29"/>
      <c r="D8" s="30"/>
      <c r="E8" s="31"/>
      <c r="F8" s="32"/>
      <c r="G8" s="33"/>
      <c r="H8" s="33"/>
      <c r="I8" s="33"/>
      <c r="J8" s="30"/>
      <c r="K8" s="34"/>
    </row>
    <row r="9" spans="1:11" s="35" customFormat="1" ht="22.95" customHeight="1" x14ac:dyDescent="0.45">
      <c r="A9" s="27"/>
      <c r="B9" s="28"/>
      <c r="C9" s="29"/>
      <c r="D9" s="30"/>
      <c r="E9" s="31"/>
      <c r="F9" s="32"/>
      <c r="G9" s="33"/>
      <c r="H9" s="33"/>
      <c r="I9" s="33"/>
      <c r="J9" s="30"/>
      <c r="K9" s="34"/>
    </row>
    <row r="10" spans="1:11" s="35" customFormat="1" ht="22.95" customHeight="1" x14ac:dyDescent="0.15">
      <c r="A10" s="27"/>
      <c r="B10" s="28"/>
      <c r="C10" s="29"/>
      <c r="D10" s="30"/>
      <c r="E10" s="31"/>
      <c r="F10" s="32"/>
      <c r="G10" s="33"/>
      <c r="H10" s="33"/>
      <c r="I10" s="33"/>
      <c r="J10" s="37"/>
      <c r="K10" s="34"/>
    </row>
    <row r="11" spans="1:11" s="35" customFormat="1" ht="22.95" customHeight="1" x14ac:dyDescent="0.15">
      <c r="A11" s="27"/>
      <c r="B11" s="28"/>
      <c r="C11" s="29"/>
      <c r="D11" s="30"/>
      <c r="E11" s="31"/>
      <c r="F11" s="32"/>
      <c r="G11" s="33"/>
      <c r="H11" s="33"/>
      <c r="I11" s="33"/>
      <c r="J11" s="37"/>
      <c r="K11" s="34"/>
    </row>
    <row r="12" spans="1:11" s="35" customFormat="1" ht="22.95" customHeight="1" x14ac:dyDescent="0.15">
      <c r="A12" s="27"/>
      <c r="B12" s="28"/>
      <c r="C12" s="29"/>
      <c r="D12" s="30"/>
      <c r="E12" s="31"/>
      <c r="F12" s="32"/>
      <c r="G12" s="33"/>
      <c r="H12" s="33"/>
      <c r="I12" s="33"/>
      <c r="J12" s="37"/>
      <c r="K12" s="34"/>
    </row>
    <row r="13" spans="1:11" s="35" customFormat="1" ht="22.95" customHeight="1" x14ac:dyDescent="0.45">
      <c r="A13" s="27"/>
      <c r="B13" s="28"/>
      <c r="C13" s="29"/>
      <c r="D13" s="30"/>
      <c r="E13" s="31"/>
      <c r="F13" s="32"/>
      <c r="G13" s="33"/>
      <c r="H13" s="33"/>
      <c r="I13" s="33"/>
      <c r="J13" s="30"/>
      <c r="K13" s="34"/>
    </row>
    <row r="14" spans="1:11" s="35" customFormat="1" ht="22.95" customHeight="1" x14ac:dyDescent="0.45">
      <c r="A14" s="27"/>
      <c r="B14" s="28"/>
      <c r="C14" s="29"/>
      <c r="D14" s="30"/>
      <c r="E14" s="31"/>
      <c r="F14" s="32"/>
      <c r="G14" s="33"/>
      <c r="H14" s="33"/>
      <c r="I14" s="33"/>
      <c r="J14" s="30"/>
      <c r="K14" s="34"/>
    </row>
    <row r="15" spans="1:11" s="35" customFormat="1" ht="22.95" customHeight="1" x14ac:dyDescent="0.45">
      <c r="A15" s="27"/>
      <c r="B15" s="28"/>
      <c r="C15" s="29"/>
      <c r="D15" s="30"/>
      <c r="E15" s="31"/>
      <c r="F15" s="32"/>
      <c r="G15" s="33"/>
      <c r="H15" s="33"/>
      <c r="I15" s="33"/>
      <c r="J15" s="30"/>
      <c r="K15" s="34"/>
    </row>
    <row r="16" spans="1:11" s="35" customFormat="1" ht="22.95" customHeight="1" x14ac:dyDescent="0.45">
      <c r="A16" s="27"/>
      <c r="B16" s="28"/>
      <c r="C16" s="29"/>
      <c r="D16" s="30"/>
      <c r="E16" s="31"/>
      <c r="F16" s="32"/>
      <c r="G16" s="33"/>
      <c r="H16" s="33"/>
      <c r="I16" s="33"/>
      <c r="J16" s="30"/>
      <c r="K16" s="34"/>
    </row>
    <row r="17" spans="1:11" s="35" customFormat="1" ht="22.95" customHeight="1" x14ac:dyDescent="0.45">
      <c r="A17" s="27"/>
      <c r="B17" s="28"/>
      <c r="C17" s="29"/>
      <c r="D17" s="30"/>
      <c r="E17" s="31"/>
      <c r="F17" s="32"/>
      <c r="G17" s="33"/>
      <c r="H17" s="33"/>
      <c r="I17" s="33"/>
      <c r="J17" s="30"/>
      <c r="K17" s="34"/>
    </row>
    <row r="18" spans="1:11" s="35" customFormat="1" ht="22.95" customHeight="1" x14ac:dyDescent="0.45">
      <c r="A18" s="27"/>
      <c r="B18" s="28"/>
      <c r="C18" s="29"/>
      <c r="D18" s="30"/>
      <c r="E18" s="31"/>
      <c r="F18" s="32"/>
      <c r="G18" s="33"/>
      <c r="H18" s="33"/>
      <c r="I18" s="33"/>
      <c r="J18" s="30"/>
      <c r="K18" s="34"/>
    </row>
    <row r="19" spans="1:11" s="35" customFormat="1" ht="22.95" customHeight="1" x14ac:dyDescent="0.45">
      <c r="A19" s="27"/>
      <c r="B19" s="28"/>
      <c r="C19" s="29"/>
      <c r="D19" s="30"/>
      <c r="E19" s="31"/>
      <c r="F19" s="32"/>
      <c r="G19" s="33"/>
      <c r="H19" s="33"/>
      <c r="I19" s="33"/>
      <c r="J19" s="30"/>
      <c r="K19" s="34"/>
    </row>
    <row r="20" spans="1:11" s="35" customFormat="1" ht="22.95" customHeight="1" x14ac:dyDescent="0.45">
      <c r="A20" s="27"/>
      <c r="B20" s="28"/>
      <c r="C20" s="29"/>
      <c r="D20" s="30"/>
      <c r="E20" s="31"/>
      <c r="F20" s="32"/>
      <c r="G20" s="33"/>
      <c r="H20" s="33"/>
      <c r="I20" s="33"/>
      <c r="J20" s="30"/>
      <c r="K20" s="34"/>
    </row>
    <row r="21" spans="1:11" s="35" customFormat="1" ht="22.95" customHeight="1" x14ac:dyDescent="0.45">
      <c r="A21" s="27"/>
      <c r="B21" s="28"/>
      <c r="C21" s="29"/>
      <c r="D21" s="30"/>
      <c r="E21" s="31"/>
      <c r="F21" s="32"/>
      <c r="G21" s="33"/>
      <c r="H21" s="33"/>
      <c r="I21" s="33"/>
      <c r="J21" s="30"/>
      <c r="K21" s="34"/>
    </row>
    <row r="22" spans="1:11" s="35" customFormat="1" ht="22.95" customHeight="1" x14ac:dyDescent="0.15">
      <c r="A22" s="38"/>
      <c r="B22" s="28"/>
      <c r="C22" s="29"/>
      <c r="D22" s="30"/>
      <c r="E22" s="31"/>
      <c r="F22" s="32"/>
      <c r="G22" s="33"/>
      <c r="H22" s="33"/>
      <c r="I22" s="33"/>
      <c r="J22" s="37"/>
      <c r="K22" s="34"/>
    </row>
    <row r="23" spans="1:11" s="35" customFormat="1" ht="22.95" customHeight="1" x14ac:dyDescent="0.15">
      <c r="A23" s="38"/>
      <c r="B23" s="28"/>
      <c r="C23" s="29"/>
      <c r="D23" s="30"/>
      <c r="E23" s="31"/>
      <c r="F23" s="32"/>
      <c r="G23" s="33"/>
      <c r="H23" s="33"/>
      <c r="I23" s="33"/>
      <c r="J23" s="37"/>
      <c r="K23" s="34"/>
    </row>
    <row r="24" spans="1:11" s="35" customFormat="1" ht="22.95" customHeight="1" x14ac:dyDescent="0.15">
      <c r="A24" s="38"/>
      <c r="B24" s="28"/>
      <c r="C24" s="29"/>
      <c r="D24" s="30"/>
      <c r="E24" s="31"/>
      <c r="F24" s="32"/>
      <c r="G24" s="33"/>
      <c r="H24" s="33"/>
      <c r="I24" s="33"/>
      <c r="J24" s="37"/>
      <c r="K24" s="34"/>
    </row>
    <row r="25" spans="1:11" s="35" customFormat="1" ht="22.95" customHeight="1" x14ac:dyDescent="0.45">
      <c r="A25" s="38"/>
      <c r="B25" s="28"/>
      <c r="C25" s="29"/>
      <c r="D25" s="30"/>
      <c r="E25" s="31"/>
      <c r="F25" s="32"/>
      <c r="G25" s="33"/>
      <c r="H25" s="33"/>
      <c r="I25" s="33"/>
      <c r="J25" s="30"/>
      <c r="K25" s="34"/>
    </row>
    <row r="26" spans="1:11" s="35" customFormat="1" ht="22.95" customHeight="1" x14ac:dyDescent="0.45">
      <c r="A26" s="38"/>
      <c r="B26" s="28"/>
      <c r="C26" s="29"/>
      <c r="D26" s="30"/>
      <c r="E26" s="31"/>
      <c r="F26" s="32"/>
      <c r="G26" s="33"/>
      <c r="H26" s="33"/>
      <c r="I26" s="33"/>
      <c r="J26" s="30"/>
      <c r="K26" s="34"/>
    </row>
    <row r="27" spans="1:11" s="35" customFormat="1" ht="22.95" customHeight="1" x14ac:dyDescent="0.45">
      <c r="A27" s="38"/>
      <c r="B27" s="28"/>
      <c r="C27" s="29"/>
      <c r="D27" s="30"/>
      <c r="E27" s="31"/>
      <c r="F27" s="32"/>
      <c r="G27" s="33"/>
      <c r="H27" s="33"/>
      <c r="I27" s="33"/>
      <c r="J27" s="30"/>
      <c r="K27" s="34"/>
    </row>
    <row r="28" spans="1:11" s="35" customFormat="1" ht="22.95" customHeight="1" x14ac:dyDescent="0.45">
      <c r="A28" s="27"/>
      <c r="B28" s="28"/>
      <c r="C28" s="29"/>
      <c r="D28" s="30"/>
      <c r="E28" s="31"/>
      <c r="F28" s="32"/>
      <c r="G28" s="33"/>
      <c r="H28" s="33"/>
      <c r="I28" s="33"/>
      <c r="J28" s="30"/>
      <c r="K28" s="39"/>
    </row>
    <row r="29" spans="1:11" s="35" customFormat="1" ht="22.95" customHeight="1" x14ac:dyDescent="0.45">
      <c r="A29" s="27"/>
      <c r="B29" s="28"/>
      <c r="C29" s="29"/>
      <c r="D29" s="30"/>
      <c r="E29" s="31"/>
      <c r="F29" s="32"/>
      <c r="G29" s="33"/>
      <c r="H29" s="33"/>
      <c r="I29" s="33"/>
      <c r="J29" s="30"/>
      <c r="K29" s="39"/>
    </row>
    <row r="30" spans="1:11" s="35" customFormat="1" ht="22.95" customHeight="1" x14ac:dyDescent="0.45">
      <c r="A30" s="27"/>
      <c r="B30" s="28"/>
      <c r="C30" s="29"/>
      <c r="D30" s="30"/>
      <c r="E30" s="31"/>
      <c r="F30" s="32"/>
      <c r="G30" s="33"/>
      <c r="H30" s="33"/>
      <c r="I30" s="33"/>
      <c r="J30" s="30"/>
      <c r="K30" s="39"/>
    </row>
    <row r="31" spans="1:11" s="35" customFormat="1" ht="22.95" customHeight="1" x14ac:dyDescent="0.45">
      <c r="A31" s="38"/>
      <c r="B31" s="28"/>
      <c r="C31" s="29"/>
      <c r="D31" s="30"/>
      <c r="E31" s="31"/>
      <c r="F31" s="32"/>
      <c r="G31" s="33"/>
      <c r="H31" s="33"/>
      <c r="I31" s="33"/>
      <c r="J31" s="30"/>
      <c r="K31" s="34"/>
    </row>
    <row r="32" spans="1:11" s="35" customFormat="1" ht="22.95" customHeight="1" x14ac:dyDescent="0.45">
      <c r="A32" s="38"/>
      <c r="B32" s="28"/>
      <c r="C32" s="29"/>
      <c r="D32" s="30"/>
      <c r="E32" s="31"/>
      <c r="F32" s="32"/>
      <c r="G32" s="33"/>
      <c r="H32" s="33"/>
      <c r="I32" s="33"/>
      <c r="J32" s="30"/>
      <c r="K32" s="34"/>
    </row>
    <row r="33" spans="1:11" s="35" customFormat="1" ht="22.95" customHeight="1" x14ac:dyDescent="0.45">
      <c r="A33" s="38"/>
      <c r="B33" s="28"/>
      <c r="C33" s="29"/>
      <c r="D33" s="30"/>
      <c r="E33" s="31"/>
      <c r="F33" s="32"/>
      <c r="G33" s="33"/>
      <c r="H33" s="33"/>
      <c r="I33" s="33"/>
      <c r="J33" s="30"/>
      <c r="K33" s="34"/>
    </row>
    <row r="34" spans="1:11" s="35" customFormat="1" ht="22.95" customHeight="1" x14ac:dyDescent="0.45">
      <c r="A34" s="36"/>
      <c r="B34" s="28"/>
      <c r="C34" s="29"/>
      <c r="D34" s="30"/>
      <c r="E34" s="31"/>
      <c r="F34" s="32"/>
      <c r="G34" s="33"/>
      <c r="H34" s="33"/>
      <c r="I34" s="33"/>
      <c r="J34" s="30"/>
      <c r="K34" s="34"/>
    </row>
    <row r="35" spans="1:11" s="35" customFormat="1" ht="22.95" customHeight="1" x14ac:dyDescent="0.45">
      <c r="A35" s="27"/>
      <c r="B35" s="28"/>
      <c r="C35" s="29"/>
      <c r="D35" s="30"/>
      <c r="E35" s="31"/>
      <c r="F35" s="32"/>
      <c r="G35" s="33"/>
      <c r="H35" s="33"/>
      <c r="I35" s="33"/>
      <c r="J35" s="30"/>
      <c r="K35" s="34"/>
    </row>
    <row r="36" spans="1:11" s="35" customFormat="1" ht="22.95" customHeight="1" x14ac:dyDescent="0.45">
      <c r="A36" s="27"/>
      <c r="B36" s="28"/>
      <c r="C36" s="29"/>
      <c r="D36" s="30"/>
      <c r="E36" s="31"/>
      <c r="F36" s="32"/>
      <c r="G36" s="33"/>
      <c r="H36" s="33"/>
      <c r="I36" s="33"/>
      <c r="J36" s="30"/>
      <c r="K36" s="34"/>
    </row>
    <row r="37" spans="1:11" s="35" customFormat="1" ht="22.95" customHeight="1" x14ac:dyDescent="0.45">
      <c r="A37" s="27"/>
      <c r="B37" s="28"/>
      <c r="C37" s="29"/>
      <c r="D37" s="30"/>
      <c r="E37" s="31"/>
      <c r="F37" s="32"/>
      <c r="G37" s="33"/>
      <c r="H37" s="33"/>
      <c r="I37" s="33"/>
      <c r="J37" s="30"/>
      <c r="K37" s="34"/>
    </row>
    <row r="38" spans="1:11" s="35" customFormat="1" ht="22.95" customHeight="1" x14ac:dyDescent="0.45">
      <c r="A38" s="27"/>
      <c r="B38" s="28"/>
      <c r="C38" s="29"/>
      <c r="D38" s="30"/>
      <c r="E38" s="31"/>
      <c r="F38" s="32"/>
      <c r="G38" s="33"/>
      <c r="H38" s="33"/>
      <c r="I38" s="33"/>
      <c r="J38" s="30"/>
      <c r="K38" s="34"/>
    </row>
    <row r="39" spans="1:11" s="35" customFormat="1" ht="22.95" customHeight="1" x14ac:dyDescent="0.45">
      <c r="A39" s="27"/>
      <c r="B39" s="28"/>
      <c r="C39" s="29"/>
      <c r="D39" s="30"/>
      <c r="E39" s="31"/>
      <c r="F39" s="32"/>
      <c r="G39" s="33"/>
      <c r="H39" s="33"/>
      <c r="I39" s="33"/>
      <c r="J39" s="30"/>
      <c r="K39" s="34"/>
    </row>
    <row r="40" spans="1:11" s="35" customFormat="1" ht="22.95" customHeight="1" x14ac:dyDescent="0.45">
      <c r="A40" s="38"/>
      <c r="B40" s="28"/>
      <c r="C40" s="29"/>
      <c r="D40" s="30"/>
      <c r="E40" s="31"/>
      <c r="F40" s="32"/>
      <c r="G40" s="33"/>
      <c r="H40" s="33"/>
      <c r="I40" s="33"/>
      <c r="J40" s="30"/>
      <c r="K40" s="34"/>
    </row>
    <row r="41" spans="1:11" s="35" customFormat="1" ht="22.95" customHeight="1" x14ac:dyDescent="0.45">
      <c r="A41" s="38"/>
      <c r="B41" s="28"/>
      <c r="C41" s="29"/>
      <c r="D41" s="30"/>
      <c r="E41" s="31"/>
      <c r="F41" s="32"/>
      <c r="G41" s="33"/>
      <c r="H41" s="33"/>
      <c r="I41" s="33"/>
      <c r="J41" s="30"/>
      <c r="K41" s="34"/>
    </row>
    <row r="42" spans="1:11" s="35" customFormat="1" ht="22.95" customHeight="1" x14ac:dyDescent="0.45">
      <c r="A42" s="38"/>
      <c r="B42" s="28"/>
      <c r="C42" s="29"/>
      <c r="D42" s="30"/>
      <c r="E42" s="31"/>
      <c r="F42" s="32"/>
      <c r="G42" s="33"/>
      <c r="H42" s="33"/>
      <c r="I42" s="33"/>
      <c r="J42" s="30"/>
      <c r="K42" s="34"/>
    </row>
    <row r="43" spans="1:11" s="35" customFormat="1" ht="22.95" customHeight="1" x14ac:dyDescent="0.45">
      <c r="A43" s="38"/>
      <c r="B43" s="28"/>
      <c r="C43" s="29"/>
      <c r="D43" s="30"/>
      <c r="E43" s="31"/>
      <c r="F43" s="32"/>
      <c r="G43" s="33"/>
      <c r="H43" s="33"/>
      <c r="I43" s="33"/>
      <c r="J43" s="30"/>
      <c r="K43" s="34"/>
    </row>
    <row r="44" spans="1:11" s="35" customFormat="1" ht="22.95" customHeight="1" x14ac:dyDescent="0.45">
      <c r="A44" s="38"/>
      <c r="B44" s="28"/>
      <c r="C44" s="29"/>
      <c r="D44" s="30"/>
      <c r="E44" s="31"/>
      <c r="F44" s="32"/>
      <c r="G44" s="33"/>
      <c r="H44" s="33"/>
      <c r="I44" s="33"/>
      <c r="J44" s="30"/>
      <c r="K44" s="34"/>
    </row>
    <row r="45" spans="1:11" s="35" customFormat="1" ht="22.95" customHeight="1" x14ac:dyDescent="0.45">
      <c r="A45" s="38"/>
      <c r="B45" s="28"/>
      <c r="C45" s="29"/>
      <c r="D45" s="30"/>
      <c r="E45" s="31"/>
      <c r="F45" s="32"/>
      <c r="G45" s="33"/>
      <c r="H45" s="33"/>
      <c r="I45" s="33"/>
      <c r="J45" s="30"/>
      <c r="K45" s="34"/>
    </row>
    <row r="46" spans="1:11" s="35" customFormat="1" ht="22.95" customHeight="1" x14ac:dyDescent="0.15">
      <c r="A46" s="38"/>
      <c r="B46" s="28"/>
      <c r="C46" s="29"/>
      <c r="D46" s="30"/>
      <c r="E46" s="31"/>
      <c r="F46" s="32"/>
      <c r="G46" s="33"/>
      <c r="H46" s="33"/>
      <c r="I46" s="33"/>
      <c r="J46" s="37"/>
      <c r="K46" s="34"/>
    </row>
    <row r="47" spans="1:11" s="35" customFormat="1" ht="22.95" customHeight="1" x14ac:dyDescent="0.15">
      <c r="A47" s="38"/>
      <c r="B47" s="28"/>
      <c r="C47" s="29"/>
      <c r="D47" s="30"/>
      <c r="E47" s="31"/>
      <c r="F47" s="32"/>
      <c r="G47" s="33"/>
      <c r="H47" s="33"/>
      <c r="I47" s="33"/>
      <c r="J47" s="37"/>
      <c r="K47" s="34"/>
    </row>
    <row r="48" spans="1:11" s="35" customFormat="1" ht="22.95" customHeight="1" x14ac:dyDescent="0.15">
      <c r="A48" s="38"/>
      <c r="B48" s="28"/>
      <c r="C48" s="29"/>
      <c r="D48" s="30"/>
      <c r="E48" s="31"/>
      <c r="F48" s="32"/>
      <c r="G48" s="33"/>
      <c r="H48" s="33"/>
      <c r="I48" s="33"/>
      <c r="J48" s="37"/>
      <c r="K48" s="34"/>
    </row>
    <row r="49" spans="1:11" s="35" customFormat="1" ht="22.95" customHeight="1" x14ac:dyDescent="0.15">
      <c r="A49" s="36"/>
      <c r="B49" s="28"/>
      <c r="C49" s="29"/>
      <c r="D49" s="30"/>
      <c r="E49" s="31"/>
      <c r="F49" s="32"/>
      <c r="G49" s="33"/>
      <c r="H49" s="33"/>
      <c r="I49" s="33"/>
      <c r="J49" s="37"/>
      <c r="K49" s="34"/>
    </row>
    <row r="50" spans="1:11" s="35" customFormat="1" ht="22.95" customHeight="1" x14ac:dyDescent="0.15">
      <c r="A50" s="27"/>
      <c r="B50" s="28"/>
      <c r="C50" s="29"/>
      <c r="D50" s="30"/>
      <c r="E50" s="31"/>
      <c r="F50" s="32"/>
      <c r="G50" s="33"/>
      <c r="H50" s="33"/>
      <c r="I50" s="33"/>
      <c r="J50" s="37"/>
      <c r="K50" s="34"/>
    </row>
    <row r="51" spans="1:11" s="35" customFormat="1" ht="22.95" customHeight="1" x14ac:dyDescent="0.15">
      <c r="A51" s="27"/>
      <c r="B51" s="28"/>
      <c r="C51" s="29"/>
      <c r="D51" s="30"/>
      <c r="E51" s="31"/>
      <c r="F51" s="32"/>
      <c r="G51" s="33"/>
      <c r="H51" s="33"/>
      <c r="I51" s="33"/>
      <c r="J51" s="37"/>
      <c r="K51" s="34"/>
    </row>
    <row r="52" spans="1:11" s="35" customFormat="1" ht="22.95" customHeight="1" x14ac:dyDescent="0.45">
      <c r="A52" s="38"/>
      <c r="B52" s="28"/>
      <c r="C52" s="29"/>
      <c r="D52" s="30"/>
      <c r="E52" s="31"/>
      <c r="F52" s="32"/>
      <c r="G52" s="33"/>
      <c r="H52" s="33"/>
      <c r="I52" s="33"/>
      <c r="J52" s="30"/>
      <c r="K52" s="34"/>
    </row>
    <row r="53" spans="1:11" s="35" customFormat="1" ht="22.95" customHeight="1" x14ac:dyDescent="0.45">
      <c r="A53" s="38"/>
      <c r="B53" s="28"/>
      <c r="C53" s="29"/>
      <c r="D53" s="30"/>
      <c r="E53" s="31"/>
      <c r="F53" s="32"/>
      <c r="G53" s="33"/>
      <c r="H53" s="33"/>
      <c r="I53" s="33"/>
      <c r="J53" s="30"/>
      <c r="K53" s="34"/>
    </row>
    <row r="54" spans="1:11" s="35" customFormat="1" ht="22.95" customHeight="1" x14ac:dyDescent="0.45">
      <c r="A54" s="38"/>
      <c r="B54" s="28"/>
      <c r="C54" s="29"/>
      <c r="D54" s="30"/>
      <c r="E54" s="31"/>
      <c r="F54" s="32"/>
      <c r="G54" s="33"/>
      <c r="H54" s="33"/>
      <c r="I54" s="33"/>
      <c r="J54" s="30"/>
      <c r="K54" s="34"/>
    </row>
    <row r="55" spans="1:11" s="35" customFormat="1" ht="22.95" customHeight="1" x14ac:dyDescent="0.15">
      <c r="A55" s="36"/>
      <c r="B55" s="28"/>
      <c r="C55" s="29"/>
      <c r="D55" s="30"/>
      <c r="E55" s="31"/>
      <c r="F55" s="32"/>
      <c r="G55" s="33"/>
      <c r="H55" s="33"/>
      <c r="I55" s="33"/>
      <c r="J55" s="37"/>
      <c r="K55" s="34"/>
    </row>
    <row r="56" spans="1:11" s="35" customFormat="1" ht="22.95" customHeight="1" x14ac:dyDescent="0.15">
      <c r="A56" s="36"/>
      <c r="B56" s="28"/>
      <c r="C56" s="29"/>
      <c r="D56" s="30"/>
      <c r="E56" s="31"/>
      <c r="F56" s="32"/>
      <c r="G56" s="33"/>
      <c r="H56" s="33"/>
      <c r="I56" s="33"/>
      <c r="J56" s="37"/>
      <c r="K56" s="34"/>
    </row>
    <row r="57" spans="1:11" s="35" customFormat="1" ht="22.95" customHeight="1" x14ac:dyDescent="0.15">
      <c r="A57" s="36"/>
      <c r="B57" s="28"/>
      <c r="C57" s="29"/>
      <c r="D57" s="30"/>
      <c r="E57" s="31"/>
      <c r="F57" s="32"/>
      <c r="G57" s="33"/>
      <c r="H57" s="33"/>
      <c r="I57" s="33"/>
      <c r="J57" s="37"/>
      <c r="K57" s="34"/>
    </row>
    <row r="58" spans="1:11" s="35" customFormat="1" ht="22.95" customHeight="1" x14ac:dyDescent="0.45">
      <c r="A58" s="36"/>
      <c r="B58" s="28"/>
      <c r="C58" s="29"/>
      <c r="D58" s="30"/>
      <c r="E58" s="31"/>
      <c r="F58" s="32"/>
      <c r="G58" s="33"/>
      <c r="H58" s="33"/>
      <c r="I58" s="33"/>
      <c r="J58" s="30"/>
      <c r="K58" s="34"/>
    </row>
    <row r="59" spans="1:11" s="35" customFormat="1" ht="22.95" customHeight="1" x14ac:dyDescent="0.45">
      <c r="A59" s="36"/>
      <c r="B59" s="28"/>
      <c r="C59" s="29"/>
      <c r="D59" s="30"/>
      <c r="E59" s="31"/>
      <c r="F59" s="32"/>
      <c r="G59" s="33"/>
      <c r="H59" s="33"/>
      <c r="I59" s="33"/>
      <c r="J59" s="30"/>
      <c r="K59" s="34"/>
    </row>
    <row r="60" spans="1:11" s="35" customFormat="1" ht="22.95" customHeight="1" x14ac:dyDescent="0.45">
      <c r="A60" s="36"/>
      <c r="B60" s="28"/>
      <c r="C60" s="29"/>
      <c r="D60" s="30"/>
      <c r="E60" s="31"/>
      <c r="F60" s="32"/>
      <c r="G60" s="33"/>
      <c r="H60" s="33"/>
      <c r="I60" s="33"/>
      <c r="J60" s="30"/>
      <c r="K60" s="34"/>
    </row>
    <row r="61" spans="1:11" s="35" customFormat="1" ht="22.8" customHeight="1" x14ac:dyDescent="0.45">
      <c r="A61" s="36"/>
      <c r="B61" s="28"/>
      <c r="C61" s="29"/>
      <c r="D61" s="40"/>
      <c r="E61" s="31"/>
      <c r="F61" s="32"/>
      <c r="G61" s="33"/>
      <c r="H61" s="33"/>
      <c r="I61" s="33"/>
      <c r="J61" s="40"/>
    </row>
    <row r="62" spans="1:11" s="35" customFormat="1" ht="22.95" customHeight="1" x14ac:dyDescent="0.45">
      <c r="A62" s="36"/>
      <c r="B62" s="28"/>
      <c r="C62" s="29"/>
      <c r="D62" s="40"/>
      <c r="E62" s="31"/>
      <c r="F62" s="32"/>
      <c r="G62" s="33"/>
      <c r="H62" s="33"/>
      <c r="I62" s="33"/>
      <c r="J62" s="40"/>
    </row>
    <row r="63" spans="1:11" s="35" customFormat="1" ht="22.95" customHeight="1" x14ac:dyDescent="0.45">
      <c r="A63" s="36"/>
      <c r="B63" s="28"/>
      <c r="C63" s="29"/>
      <c r="D63" s="40"/>
      <c r="E63" s="31"/>
      <c r="F63" s="32"/>
      <c r="G63" s="33"/>
      <c r="H63" s="33"/>
      <c r="I63" s="33"/>
      <c r="J63" s="40"/>
    </row>
    <row r="64" spans="1:11" s="35" customFormat="1" ht="22.95" customHeight="1" x14ac:dyDescent="0.45">
      <c r="A64" s="36"/>
      <c r="B64" s="28"/>
      <c r="C64" s="29"/>
      <c r="D64" s="40"/>
      <c r="E64" s="31"/>
      <c r="F64" s="32"/>
      <c r="G64" s="33"/>
      <c r="H64" s="33"/>
      <c r="I64" s="33"/>
      <c r="J64" s="40"/>
    </row>
    <row r="65" spans="1:11" s="35" customFormat="1" ht="22.95" customHeight="1" x14ac:dyDescent="0.45">
      <c r="A65" s="36"/>
      <c r="B65" s="28"/>
      <c r="C65" s="29"/>
      <c r="D65" s="40"/>
      <c r="E65" s="31"/>
      <c r="F65" s="32"/>
      <c r="G65" s="33"/>
      <c r="H65" s="33"/>
      <c r="I65" s="33"/>
      <c r="J65" s="40"/>
    </row>
    <row r="66" spans="1:11" s="35" customFormat="1" ht="22.95" customHeight="1" x14ac:dyDescent="0.45">
      <c r="A66" s="36"/>
      <c r="B66" s="28"/>
      <c r="C66" s="29"/>
      <c r="D66" s="40"/>
      <c r="E66" s="31"/>
      <c r="F66" s="32"/>
      <c r="G66" s="41"/>
      <c r="H66" s="33"/>
      <c r="I66" s="33"/>
      <c r="J66" s="40"/>
    </row>
    <row r="67" spans="1:11" s="35" customFormat="1" ht="22.95" customHeight="1" x14ac:dyDescent="0.45">
      <c r="A67" s="36"/>
      <c r="B67" s="28"/>
      <c r="C67" s="29"/>
      <c r="D67" s="40"/>
      <c r="E67" s="31"/>
      <c r="F67" s="32"/>
      <c r="G67" s="33"/>
      <c r="H67" s="33"/>
      <c r="I67" s="33"/>
      <c r="J67" s="40"/>
    </row>
    <row r="68" spans="1:11" s="35" customFormat="1" ht="22.95" customHeight="1" x14ac:dyDescent="0.45">
      <c r="A68" s="36"/>
      <c r="B68" s="28"/>
      <c r="C68" s="29"/>
      <c r="D68" s="40"/>
      <c r="E68" s="31"/>
      <c r="F68" s="32"/>
      <c r="G68" s="33"/>
      <c r="H68" s="33"/>
      <c r="I68" s="33"/>
      <c r="J68" s="40"/>
      <c r="K68" s="42"/>
    </row>
    <row r="69" spans="1:11" s="35" customFormat="1" ht="22.95" customHeight="1" x14ac:dyDescent="0.45">
      <c r="A69" s="36"/>
      <c r="B69" s="28"/>
      <c r="C69" s="29"/>
      <c r="D69" s="40"/>
      <c r="E69" s="31"/>
      <c r="F69" s="32"/>
      <c r="G69" s="33"/>
      <c r="H69" s="33"/>
      <c r="I69" s="33"/>
      <c r="J69" s="40"/>
    </row>
    <row r="70" spans="1:11" s="35" customFormat="1" ht="22.95" customHeight="1" x14ac:dyDescent="0.45">
      <c r="A70" s="43"/>
      <c r="B70" s="28"/>
      <c r="C70" s="29"/>
      <c r="D70" s="40"/>
      <c r="E70" s="31"/>
      <c r="F70" s="32"/>
      <c r="G70" s="33"/>
      <c r="H70" s="33"/>
      <c r="I70" s="33"/>
      <c r="J70" s="40"/>
    </row>
    <row r="71" spans="1:11" s="35" customFormat="1" ht="22.95" customHeight="1" x14ac:dyDescent="0.45">
      <c r="A71" s="43"/>
      <c r="B71" s="28"/>
      <c r="C71" s="29"/>
      <c r="D71" s="40"/>
      <c r="E71" s="31"/>
      <c r="F71" s="32"/>
      <c r="G71" s="33"/>
      <c r="H71" s="33"/>
      <c r="I71" s="33"/>
      <c r="J71" s="40"/>
    </row>
    <row r="72" spans="1:11" s="35" customFormat="1" ht="22.95" customHeight="1" x14ac:dyDescent="0.45">
      <c r="A72" s="43"/>
      <c r="B72" s="28"/>
      <c r="C72" s="29"/>
      <c r="D72" s="40"/>
      <c r="E72" s="31"/>
      <c r="F72" s="32"/>
      <c r="G72" s="33"/>
      <c r="H72" s="33"/>
      <c r="I72" s="33"/>
      <c r="J72" s="40"/>
    </row>
    <row r="73" spans="1:11" s="35" customFormat="1" ht="22.95" customHeight="1" x14ac:dyDescent="0.45">
      <c r="A73" s="36"/>
      <c r="B73" s="28"/>
      <c r="C73" s="29"/>
      <c r="D73" s="40"/>
      <c r="E73" s="31"/>
      <c r="F73" s="32"/>
      <c r="G73" s="33"/>
      <c r="H73" s="33"/>
      <c r="I73" s="33"/>
      <c r="J73" s="44"/>
    </row>
    <row r="74" spans="1:11" s="35" customFormat="1" ht="22.95" customHeight="1" x14ac:dyDescent="0.45">
      <c r="A74" s="36"/>
      <c r="B74" s="28"/>
      <c r="C74" s="29"/>
      <c r="D74" s="40"/>
      <c r="E74" s="31"/>
      <c r="F74" s="32"/>
      <c r="G74" s="33"/>
      <c r="H74" s="33"/>
      <c r="I74" s="33"/>
      <c r="J74" s="40"/>
    </row>
    <row r="75" spans="1:11" s="35" customFormat="1" ht="22.95" customHeight="1" x14ac:dyDescent="0.45">
      <c r="A75" s="36"/>
      <c r="B75" s="28"/>
      <c r="C75" s="29"/>
      <c r="D75" s="40"/>
      <c r="E75" s="31"/>
      <c r="F75" s="32"/>
      <c r="G75" s="33"/>
      <c r="H75" s="33"/>
      <c r="I75" s="33"/>
      <c r="J75" s="40"/>
    </row>
    <row r="76" spans="1:11" s="35" customFormat="1" ht="22.95" customHeight="1" x14ac:dyDescent="0.45">
      <c r="A76" s="36"/>
      <c r="B76" s="28"/>
      <c r="C76" s="29"/>
      <c r="D76" s="40"/>
      <c r="E76" s="31"/>
      <c r="F76" s="32"/>
      <c r="G76" s="33"/>
      <c r="H76" s="33"/>
      <c r="I76" s="33"/>
      <c r="J76" s="40"/>
    </row>
    <row r="77" spans="1:11" s="35" customFormat="1" ht="22.95" customHeight="1" x14ac:dyDescent="0.45">
      <c r="A77" s="36"/>
      <c r="B77" s="28"/>
      <c r="C77" s="29"/>
      <c r="D77" s="40"/>
      <c r="E77" s="31"/>
      <c r="F77" s="32"/>
      <c r="G77" s="33"/>
      <c r="H77" s="33"/>
      <c r="I77" s="33"/>
      <c r="J77" s="40"/>
    </row>
    <row r="78" spans="1:11" s="35" customFormat="1" ht="22.95" customHeight="1" x14ac:dyDescent="0.45">
      <c r="A78" s="36"/>
      <c r="B78" s="28"/>
      <c r="C78" s="29"/>
      <c r="D78" s="40"/>
      <c r="E78" s="31"/>
      <c r="F78" s="32"/>
      <c r="G78" s="33"/>
      <c r="H78" s="33"/>
      <c r="I78" s="33"/>
      <c r="J78" s="40"/>
    </row>
    <row r="79" spans="1:11" s="35" customFormat="1" ht="22.95" customHeight="1" x14ac:dyDescent="0.45">
      <c r="A79" s="36"/>
      <c r="B79" s="28"/>
      <c r="C79" s="29"/>
      <c r="D79" s="40"/>
      <c r="E79" s="31"/>
      <c r="F79" s="32"/>
      <c r="G79" s="33"/>
      <c r="H79" s="33"/>
      <c r="I79" s="33"/>
      <c r="J79" s="40"/>
    </row>
    <row r="80" spans="1:11" s="35" customFormat="1" ht="22.95" customHeight="1" x14ac:dyDescent="0.45">
      <c r="A80" s="36"/>
      <c r="B80" s="28"/>
      <c r="C80" s="29"/>
      <c r="D80" s="40"/>
      <c r="E80" s="31"/>
      <c r="F80" s="32"/>
      <c r="G80" s="33"/>
      <c r="H80" s="33"/>
      <c r="I80" s="33"/>
      <c r="J80" s="40"/>
    </row>
    <row r="81" spans="1:10" s="35" customFormat="1" ht="22.8" customHeight="1" x14ac:dyDescent="0.45">
      <c r="A81" s="36"/>
      <c r="B81" s="28"/>
      <c r="C81" s="29"/>
      <c r="D81" s="40"/>
      <c r="E81" s="31"/>
      <c r="F81" s="32"/>
      <c r="G81" s="33"/>
      <c r="H81" s="33"/>
      <c r="I81" s="33"/>
      <c r="J81" s="40"/>
    </row>
    <row r="82" spans="1:10" x14ac:dyDescent="0.45">
      <c r="B82" s="45"/>
      <c r="C82" s="46"/>
      <c r="D82" s="46"/>
      <c r="E82" s="47"/>
      <c r="F82" s="48"/>
      <c r="G82" s="49"/>
      <c r="H82" s="49"/>
      <c r="I82" s="49"/>
      <c r="J82" s="50"/>
    </row>
    <row r="83" spans="1:10" x14ac:dyDescent="0.45">
      <c r="B83" s="45"/>
      <c r="C83" s="46"/>
      <c r="D83" s="46"/>
      <c r="E83" s="47"/>
      <c r="F83" s="48"/>
      <c r="G83" s="49"/>
      <c r="H83" s="49"/>
      <c r="I83" s="49"/>
      <c r="J83" s="50"/>
    </row>
  </sheetData>
  <autoFilter ref="A3:K3">
    <filterColumn colId="1" showButton="0"/>
    <filterColumn colId="4" showButton="0"/>
  </autoFilter>
  <mergeCells count="7">
    <mergeCell ref="J2:J3"/>
    <mergeCell ref="A2:A3"/>
    <mergeCell ref="B2:C3"/>
    <mergeCell ref="D2:D3"/>
    <mergeCell ref="E2:F3"/>
    <mergeCell ref="G2:G3"/>
    <mergeCell ref="H2:I2"/>
  </mergeCells>
  <phoneticPr fontId="2"/>
  <conditionalFormatting sqref="F1:F1048576">
    <cfRule type="expression" dxfId="190" priority="2">
      <formula>AND($F1&lt;&gt;"",TEXT($F1,"hh:mm")&lt;=TEXT(NOW(),"hh:mm"),$G1="",$H1="",$I1="")</formula>
    </cfRule>
  </conditionalFormatting>
  <conditionalFormatting sqref="E1:I1048576">
    <cfRule type="expression" dxfId="189" priority="3">
      <formula>$E1="End time"</formula>
    </cfRule>
  </conditionalFormatting>
  <conditionalFormatting sqref="E1:E1048576">
    <cfRule type="expression" dxfId="188" priority="1">
      <formula>$E1="End time"</formula>
    </cfRule>
  </conditionalFormatting>
  <printOptions horizontalCentered="1"/>
  <pageMargins left="0.36" right="0.36" top="0.33" bottom="0.23" header="0.3" footer="0.3"/>
  <pageSetup paperSize="9" scale="71" fitToHeight="0" orientation="portrait" r:id="rId1"/>
  <headerFooter>
    <oddFooter>&amp;R&amp;P/&amp;N</oddFooter>
  </headerFooter>
  <rowBreaks count="1" manualBreakCount="1">
    <brk id="42" min="1" max="9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AB56"/>
  <sheetViews>
    <sheetView view="pageBreakPreview" zoomScale="40" zoomScaleNormal="25" zoomScaleSheetLayoutView="40" zoomScalePageLayoutView="10" workbookViewId="0">
      <pane xSplit="8" ySplit="4" topLeftCell="I41" activePane="bottomRight" state="frozen"/>
      <selection activeCell="J8" sqref="J8"/>
      <selection pane="topRight" activeCell="J8" sqref="J8"/>
      <selection pane="bottomLeft" activeCell="J8" sqref="J8"/>
      <selection pane="bottomRight" activeCell="J8" sqref="J8"/>
    </sheetView>
  </sheetViews>
  <sheetFormatPr defaultColWidth="10" defaultRowHeight="43.2" customHeight="1" x14ac:dyDescent="0.45"/>
  <cols>
    <col min="1" max="1" width="54.59765625" style="182" customWidth="1" collapsed="1"/>
    <col min="2" max="2" width="14.8984375" style="183" customWidth="1"/>
    <col min="3" max="3" width="15.796875" style="182" customWidth="1"/>
    <col min="4" max="4" width="54.59765625" style="182" customWidth="1"/>
    <col min="5" max="5" width="15.796875" style="182" customWidth="1"/>
    <col min="6" max="6" width="54.59765625" style="182" customWidth="1"/>
    <col min="7" max="7" width="52.59765625" style="182" customWidth="1"/>
    <col min="8" max="8" width="41" style="59" hidden="1" customWidth="1"/>
    <col min="9" max="9" width="31.09765625" style="56" customWidth="1"/>
    <col min="10" max="10" width="31.09765625" style="184" customWidth="1"/>
    <col min="11" max="21" width="31.09765625" style="56" customWidth="1"/>
    <col min="22" max="27" width="12.59765625" style="57" customWidth="1"/>
    <col min="28" max="28" width="33.19921875" style="57" customWidth="1"/>
    <col min="29" max="16384" width="10" style="59"/>
  </cols>
  <sheetData>
    <row r="1" spans="1:28" ht="43.2" customHeight="1" thickBot="1" x14ac:dyDescent="1.35">
      <c r="A1" s="51"/>
      <c r="B1" s="52"/>
      <c r="C1" s="51"/>
      <c r="D1" s="51"/>
      <c r="E1" s="51"/>
      <c r="F1" s="51"/>
      <c r="G1" s="53"/>
      <c r="H1" s="54"/>
      <c r="I1" s="55"/>
      <c r="J1" s="55"/>
      <c r="K1" s="55"/>
      <c r="L1" s="55"/>
      <c r="M1" s="55"/>
      <c r="N1" s="55"/>
      <c r="O1" s="55"/>
      <c r="P1" s="55"/>
      <c r="AB1" s="58"/>
    </row>
    <row r="2" spans="1:28" ht="43.2" customHeight="1" x14ac:dyDescent="0.45">
      <c r="A2" s="60" t="s">
        <v>0</v>
      </c>
      <c r="B2" s="60"/>
      <c r="C2" s="61" t="s">
        <v>7</v>
      </c>
      <c r="D2" s="62" t="s">
        <v>8</v>
      </c>
      <c r="E2" s="63" t="s">
        <v>9</v>
      </c>
      <c r="F2" s="60" t="s">
        <v>10</v>
      </c>
      <c r="G2" s="64" t="s">
        <v>11</v>
      </c>
      <c r="H2" s="63" t="s">
        <v>12</v>
      </c>
      <c r="I2" s="65">
        <v>1</v>
      </c>
      <c r="J2" s="65">
        <v>2</v>
      </c>
      <c r="K2" s="65">
        <v>3</v>
      </c>
      <c r="L2" s="65">
        <v>4</v>
      </c>
      <c r="M2" s="65">
        <v>5</v>
      </c>
      <c r="N2" s="65">
        <v>6</v>
      </c>
      <c r="O2" s="65">
        <v>7</v>
      </c>
      <c r="P2" s="65">
        <v>8</v>
      </c>
      <c r="Q2" s="65">
        <v>9</v>
      </c>
      <c r="R2" s="65">
        <v>10</v>
      </c>
      <c r="S2" s="65">
        <v>11</v>
      </c>
      <c r="T2" s="65">
        <v>12</v>
      </c>
      <c r="U2" s="66"/>
      <c r="V2" s="67" t="s">
        <v>13</v>
      </c>
      <c r="W2" s="67"/>
      <c r="X2" s="67"/>
      <c r="Y2" s="67"/>
      <c r="Z2" s="67"/>
      <c r="AA2" s="67"/>
      <c r="AB2" s="68"/>
    </row>
    <row r="3" spans="1:28" ht="43.2" customHeight="1" x14ac:dyDescent="0.45">
      <c r="A3" s="69"/>
      <c r="B3" s="69"/>
      <c r="C3" s="70"/>
      <c r="D3" s="71"/>
      <c r="E3" s="72"/>
      <c r="F3" s="69"/>
      <c r="G3" s="73"/>
      <c r="H3" s="74"/>
      <c r="I3" s="75" t="s">
        <v>14</v>
      </c>
      <c r="J3" s="75" t="s">
        <v>15</v>
      </c>
      <c r="K3" s="75" t="s">
        <v>16</v>
      </c>
      <c r="L3" s="75" t="s">
        <v>17</v>
      </c>
      <c r="M3" s="75" t="s">
        <v>18</v>
      </c>
      <c r="N3" s="75" t="s">
        <v>19</v>
      </c>
      <c r="O3" s="75" t="s">
        <v>20</v>
      </c>
      <c r="P3" s="75" t="s">
        <v>21</v>
      </c>
      <c r="Q3" s="75" t="s">
        <v>22</v>
      </c>
      <c r="R3" s="75" t="s">
        <v>23</v>
      </c>
      <c r="S3" s="75" t="s">
        <v>24</v>
      </c>
      <c r="T3" s="75" t="s">
        <v>25</v>
      </c>
      <c r="U3" s="76"/>
      <c r="V3" s="77"/>
      <c r="W3" s="77"/>
      <c r="X3" s="77"/>
      <c r="Y3" s="77"/>
      <c r="Z3" s="77"/>
      <c r="AA3" s="77"/>
      <c r="AB3" s="78"/>
    </row>
    <row r="4" spans="1:28" ht="43.2" customHeight="1" thickBot="1" x14ac:dyDescent="0.5">
      <c r="A4" s="79" t="s">
        <v>0</v>
      </c>
      <c r="B4" s="80" t="s">
        <v>26</v>
      </c>
      <c r="C4" s="81" t="s">
        <v>7</v>
      </c>
      <c r="D4" s="82" t="s">
        <v>8</v>
      </c>
      <c r="E4" s="83" t="s">
        <v>9</v>
      </c>
      <c r="F4" s="79" t="s">
        <v>10</v>
      </c>
      <c r="G4" s="84" t="s">
        <v>11</v>
      </c>
      <c r="H4" s="85" t="s">
        <v>12</v>
      </c>
      <c r="I4" s="86">
        <v>44433</v>
      </c>
      <c r="J4" s="86">
        <v>44434</v>
      </c>
      <c r="K4" s="86">
        <v>44435</v>
      </c>
      <c r="L4" s="86">
        <v>44436</v>
      </c>
      <c r="M4" s="86">
        <v>44437</v>
      </c>
      <c r="N4" s="86">
        <v>44438</v>
      </c>
      <c r="O4" s="86">
        <v>44439</v>
      </c>
      <c r="P4" s="86">
        <v>44440</v>
      </c>
      <c r="Q4" s="86">
        <v>44441</v>
      </c>
      <c r="R4" s="86">
        <v>44442</v>
      </c>
      <c r="S4" s="86">
        <v>44443</v>
      </c>
      <c r="T4" s="86">
        <v>44444</v>
      </c>
      <c r="U4" s="87" t="s">
        <v>27</v>
      </c>
      <c r="V4" s="88"/>
      <c r="W4" s="88"/>
      <c r="X4" s="88"/>
      <c r="Y4" s="88"/>
      <c r="Z4" s="88"/>
      <c r="AA4" s="88"/>
      <c r="AB4" s="89"/>
    </row>
    <row r="5" spans="1:28" ht="43.2" customHeight="1" thickTop="1" x14ac:dyDescent="0.45">
      <c r="A5" s="90" t="s">
        <v>28</v>
      </c>
      <c r="B5" s="91">
        <v>1</v>
      </c>
      <c r="C5" s="92" t="s">
        <v>29</v>
      </c>
      <c r="D5" s="92" t="s">
        <v>28</v>
      </c>
      <c r="E5" s="92" t="s">
        <v>29</v>
      </c>
      <c r="F5" s="92" t="s">
        <v>30</v>
      </c>
      <c r="G5" s="93" t="s">
        <v>31</v>
      </c>
      <c r="H5" s="94" t="s">
        <v>32</v>
      </c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 t="s">
        <v>33</v>
      </c>
      <c r="U5" s="96"/>
      <c r="V5" s="97"/>
      <c r="W5" s="97"/>
      <c r="X5" s="97"/>
      <c r="Y5" s="97"/>
      <c r="Z5" s="97"/>
      <c r="AA5" s="97"/>
      <c r="AB5" s="98"/>
    </row>
    <row r="6" spans="1:28" ht="43.2" customHeight="1" x14ac:dyDescent="0.45">
      <c r="A6" s="90"/>
      <c r="B6" s="99">
        <v>2</v>
      </c>
      <c r="C6" s="100" t="s">
        <v>29</v>
      </c>
      <c r="D6" s="100" t="s">
        <v>28</v>
      </c>
      <c r="E6" s="100" t="s">
        <v>29</v>
      </c>
      <c r="F6" s="100" t="s">
        <v>30</v>
      </c>
      <c r="G6" s="101" t="s">
        <v>34</v>
      </c>
      <c r="H6" s="102" t="s">
        <v>35</v>
      </c>
      <c r="I6" s="103"/>
      <c r="J6" s="103"/>
      <c r="K6" s="103" t="s">
        <v>36</v>
      </c>
      <c r="L6" s="103" t="s">
        <v>36</v>
      </c>
      <c r="M6" s="103" t="s">
        <v>36</v>
      </c>
      <c r="N6" s="103" t="s">
        <v>37</v>
      </c>
      <c r="O6" s="103" t="s">
        <v>38</v>
      </c>
      <c r="P6" s="103" t="s">
        <v>39</v>
      </c>
      <c r="Q6" s="103" t="s">
        <v>40</v>
      </c>
      <c r="R6" s="103" t="s">
        <v>40</v>
      </c>
      <c r="S6" s="103" t="s">
        <v>39</v>
      </c>
      <c r="T6" s="104"/>
      <c r="U6" s="96"/>
      <c r="V6" s="97"/>
      <c r="W6" s="97"/>
      <c r="X6" s="97"/>
      <c r="Y6" s="97"/>
      <c r="Z6" s="97"/>
      <c r="AA6" s="97"/>
      <c r="AB6" s="98"/>
    </row>
    <row r="7" spans="1:28" ht="43.2" customHeight="1" x14ac:dyDescent="0.45">
      <c r="A7" s="90"/>
      <c r="B7" s="99">
        <v>3</v>
      </c>
      <c r="C7" s="100" t="s">
        <v>29</v>
      </c>
      <c r="D7" s="100" t="s">
        <v>41</v>
      </c>
      <c r="E7" s="100" t="s">
        <v>29</v>
      </c>
      <c r="F7" s="100" t="s">
        <v>30</v>
      </c>
      <c r="G7" s="101" t="s">
        <v>34</v>
      </c>
      <c r="H7" s="102" t="s">
        <v>35</v>
      </c>
      <c r="I7" s="103"/>
      <c r="J7" s="103"/>
      <c r="K7" s="103" t="s">
        <v>42</v>
      </c>
      <c r="L7" s="103" t="s">
        <v>42</v>
      </c>
      <c r="M7" s="103" t="s">
        <v>43</v>
      </c>
      <c r="N7" s="103" t="s">
        <v>42</v>
      </c>
      <c r="O7" s="103" t="s">
        <v>43</v>
      </c>
      <c r="P7" s="103" t="s">
        <v>44</v>
      </c>
      <c r="Q7" s="103" t="s">
        <v>43</v>
      </c>
      <c r="R7" s="103" t="s">
        <v>45</v>
      </c>
      <c r="S7" s="103" t="s">
        <v>42</v>
      </c>
      <c r="T7" s="105"/>
      <c r="U7" s="106" t="s">
        <v>46</v>
      </c>
      <c r="V7" s="107"/>
      <c r="W7" s="107"/>
      <c r="X7" s="107"/>
      <c r="Y7" s="107"/>
      <c r="Z7" s="107"/>
      <c r="AA7" s="107"/>
      <c r="AB7" s="108"/>
    </row>
    <row r="8" spans="1:28" ht="43.2" customHeight="1" x14ac:dyDescent="0.45">
      <c r="A8" s="109"/>
      <c r="B8" s="99">
        <v>4</v>
      </c>
      <c r="C8" s="100" t="s">
        <v>29</v>
      </c>
      <c r="D8" s="100" t="s">
        <v>41</v>
      </c>
      <c r="E8" s="100" t="s">
        <v>29</v>
      </c>
      <c r="F8" s="100" t="s">
        <v>30</v>
      </c>
      <c r="G8" s="101" t="s">
        <v>34</v>
      </c>
      <c r="H8" s="102" t="s">
        <v>47</v>
      </c>
      <c r="I8" s="105"/>
      <c r="J8" s="103"/>
      <c r="K8" s="103"/>
      <c r="L8" s="103"/>
      <c r="M8" s="103"/>
      <c r="N8" s="103"/>
      <c r="O8" s="105"/>
      <c r="P8" s="105"/>
      <c r="Q8" s="105"/>
      <c r="R8" s="105"/>
      <c r="S8" s="105"/>
      <c r="T8" s="103" t="s">
        <v>48</v>
      </c>
      <c r="U8" s="106" t="s">
        <v>46</v>
      </c>
      <c r="V8" s="110"/>
      <c r="W8" s="107"/>
      <c r="X8" s="107"/>
      <c r="Y8" s="107"/>
      <c r="Z8" s="107"/>
      <c r="AA8" s="107"/>
      <c r="AB8" s="108"/>
    </row>
    <row r="9" spans="1:28" ht="43.2" customHeight="1" x14ac:dyDescent="0.45">
      <c r="A9" s="111" t="s">
        <v>49</v>
      </c>
      <c r="B9" s="99">
        <v>5</v>
      </c>
      <c r="C9" s="100" t="s">
        <v>50</v>
      </c>
      <c r="D9" s="100" t="s">
        <v>51</v>
      </c>
      <c r="E9" s="100" t="s">
        <v>50</v>
      </c>
      <c r="F9" s="100" t="s">
        <v>52</v>
      </c>
      <c r="G9" s="101" t="s">
        <v>53</v>
      </c>
      <c r="H9" s="102" t="s">
        <v>54</v>
      </c>
      <c r="I9" s="112" t="s">
        <v>55</v>
      </c>
      <c r="J9" s="112" t="s">
        <v>55</v>
      </c>
      <c r="K9" s="112" t="s">
        <v>55</v>
      </c>
      <c r="L9" s="112" t="s">
        <v>56</v>
      </c>
      <c r="M9" s="112" t="s">
        <v>57</v>
      </c>
      <c r="N9" s="112" t="s">
        <v>57</v>
      </c>
      <c r="O9" s="112" t="s">
        <v>58</v>
      </c>
      <c r="P9" s="112" t="s">
        <v>59</v>
      </c>
      <c r="Q9" s="112" t="s">
        <v>60</v>
      </c>
      <c r="R9" s="112" t="s">
        <v>60</v>
      </c>
      <c r="S9" s="105"/>
      <c r="T9" s="113"/>
      <c r="U9" s="114"/>
      <c r="V9" s="115"/>
      <c r="W9" s="115"/>
      <c r="X9" s="115"/>
      <c r="Y9" s="115"/>
      <c r="Z9" s="115"/>
      <c r="AA9" s="115"/>
      <c r="AB9" s="116"/>
    </row>
    <row r="10" spans="1:28" ht="43.2" customHeight="1" x14ac:dyDescent="0.45">
      <c r="A10" s="117"/>
      <c r="B10" s="99">
        <v>6</v>
      </c>
      <c r="C10" s="100" t="s">
        <v>50</v>
      </c>
      <c r="D10" s="100" t="s">
        <v>51</v>
      </c>
      <c r="E10" s="100" t="s">
        <v>50</v>
      </c>
      <c r="F10" s="100" t="s">
        <v>52</v>
      </c>
      <c r="G10" s="101" t="s">
        <v>53</v>
      </c>
      <c r="H10" s="102" t="s">
        <v>54</v>
      </c>
      <c r="I10" s="112" t="s">
        <v>61</v>
      </c>
      <c r="J10" s="112" t="s">
        <v>62</v>
      </c>
      <c r="K10" s="112" t="s">
        <v>63</v>
      </c>
      <c r="L10" s="112" t="s">
        <v>64</v>
      </c>
      <c r="M10" s="112" t="s">
        <v>65</v>
      </c>
      <c r="N10" s="112" t="s">
        <v>65</v>
      </c>
      <c r="O10" s="112" t="s">
        <v>66</v>
      </c>
      <c r="P10" s="112" t="s">
        <v>67</v>
      </c>
      <c r="Q10" s="112" t="s">
        <v>68</v>
      </c>
      <c r="R10" s="112" t="s">
        <v>68</v>
      </c>
      <c r="S10" s="105"/>
      <c r="T10" s="113"/>
      <c r="U10" s="106" t="s">
        <v>69</v>
      </c>
      <c r="V10" s="118"/>
      <c r="W10" s="118"/>
      <c r="X10" s="118"/>
      <c r="Y10" s="118"/>
      <c r="Z10" s="118"/>
      <c r="AA10" s="118"/>
      <c r="AB10" s="119"/>
    </row>
    <row r="11" spans="1:28" ht="43.2" customHeight="1" x14ac:dyDescent="0.45">
      <c r="A11" s="120" t="s">
        <v>70</v>
      </c>
      <c r="B11" s="99">
        <v>7</v>
      </c>
      <c r="C11" s="100" t="s">
        <v>71</v>
      </c>
      <c r="D11" s="100" t="s">
        <v>72</v>
      </c>
      <c r="E11" s="100" t="s">
        <v>71</v>
      </c>
      <c r="F11" s="100" t="s">
        <v>73</v>
      </c>
      <c r="G11" s="101" t="s">
        <v>74</v>
      </c>
      <c r="H11" s="102" t="s">
        <v>75</v>
      </c>
      <c r="I11" s="121"/>
      <c r="J11" s="121"/>
      <c r="K11" s="121"/>
      <c r="L11" s="121"/>
      <c r="M11" s="121"/>
      <c r="N11" s="121"/>
      <c r="O11" s="121"/>
      <c r="P11" s="121" t="s">
        <v>76</v>
      </c>
      <c r="Q11" s="103" t="s">
        <v>77</v>
      </c>
      <c r="R11" s="103" t="s">
        <v>77</v>
      </c>
      <c r="S11" s="103" t="s">
        <v>77</v>
      </c>
      <c r="T11" s="103" t="s">
        <v>78</v>
      </c>
      <c r="U11" s="122" t="s">
        <v>79</v>
      </c>
      <c r="V11" s="123"/>
      <c r="W11" s="123"/>
      <c r="X11" s="123"/>
      <c r="Y11" s="123"/>
      <c r="Z11" s="123"/>
      <c r="AA11" s="123"/>
      <c r="AB11" s="124"/>
    </row>
    <row r="12" spans="1:28" ht="43.2" customHeight="1" x14ac:dyDescent="0.45">
      <c r="A12" s="125"/>
      <c r="B12" s="99">
        <v>8</v>
      </c>
      <c r="C12" s="100" t="s">
        <v>71</v>
      </c>
      <c r="D12" s="100" t="s">
        <v>72</v>
      </c>
      <c r="E12" s="100" t="s">
        <v>71</v>
      </c>
      <c r="F12" s="100" t="s">
        <v>73</v>
      </c>
      <c r="G12" s="101" t="s">
        <v>80</v>
      </c>
      <c r="H12" s="102" t="s">
        <v>81</v>
      </c>
      <c r="I12" s="126" t="s">
        <v>82</v>
      </c>
      <c r="J12" s="126" t="s">
        <v>82</v>
      </c>
      <c r="K12" s="126" t="s">
        <v>82</v>
      </c>
      <c r="L12" s="126" t="s">
        <v>83</v>
      </c>
      <c r="M12" s="127" t="s">
        <v>84</v>
      </c>
      <c r="N12" s="103"/>
      <c r="O12" s="128"/>
      <c r="P12" s="128"/>
      <c r="Q12" s="128"/>
      <c r="R12" s="128"/>
      <c r="S12" s="128"/>
      <c r="T12" s="129"/>
      <c r="U12" s="130" t="s">
        <v>46</v>
      </c>
      <c r="V12" s="123"/>
      <c r="W12" s="123"/>
      <c r="X12" s="123"/>
      <c r="Y12" s="123"/>
      <c r="Z12" s="123"/>
      <c r="AA12" s="123"/>
      <c r="AB12" s="124"/>
    </row>
    <row r="13" spans="1:28" ht="43.2" customHeight="1" x14ac:dyDescent="0.45">
      <c r="A13" s="125"/>
      <c r="B13" s="99">
        <v>9</v>
      </c>
      <c r="C13" s="100" t="s">
        <v>71</v>
      </c>
      <c r="D13" s="100" t="s">
        <v>72</v>
      </c>
      <c r="E13" s="100" t="s">
        <v>71</v>
      </c>
      <c r="F13" s="100" t="s">
        <v>73</v>
      </c>
      <c r="G13" s="101" t="s">
        <v>80</v>
      </c>
      <c r="H13" s="102" t="s">
        <v>81</v>
      </c>
      <c r="I13" s="103" t="s">
        <v>85</v>
      </c>
      <c r="J13" s="103" t="s">
        <v>85</v>
      </c>
      <c r="K13" s="103" t="s">
        <v>85</v>
      </c>
      <c r="L13" s="103" t="s">
        <v>85</v>
      </c>
      <c r="M13" s="127" t="s">
        <v>86</v>
      </c>
      <c r="N13" s="103"/>
      <c r="O13" s="128"/>
      <c r="P13" s="128"/>
      <c r="Q13" s="128"/>
      <c r="R13" s="128"/>
      <c r="S13" s="128"/>
      <c r="T13" s="129"/>
      <c r="U13" s="131"/>
      <c r="V13" s="132"/>
      <c r="W13" s="132"/>
      <c r="X13" s="132"/>
      <c r="Y13" s="132"/>
      <c r="Z13" s="132"/>
      <c r="AA13" s="132"/>
      <c r="AB13" s="133"/>
    </row>
    <row r="14" spans="1:28" s="137" customFormat="1" ht="43.2" customHeight="1" x14ac:dyDescent="0.45">
      <c r="A14" s="117" t="s">
        <v>87</v>
      </c>
      <c r="B14" s="99">
        <v>10</v>
      </c>
      <c r="C14" s="100" t="s">
        <v>88</v>
      </c>
      <c r="D14" s="100" t="s">
        <v>89</v>
      </c>
      <c r="E14" s="100" t="s">
        <v>88</v>
      </c>
      <c r="F14" s="100" t="s">
        <v>90</v>
      </c>
      <c r="G14" s="134" t="s">
        <v>91</v>
      </c>
      <c r="H14" s="102" t="s">
        <v>92</v>
      </c>
      <c r="I14" s="103"/>
      <c r="J14" s="103"/>
      <c r="K14" s="103" t="s">
        <v>93</v>
      </c>
      <c r="L14" s="103" t="s">
        <v>93</v>
      </c>
      <c r="M14" s="103" t="s">
        <v>94</v>
      </c>
      <c r="N14" s="103"/>
      <c r="O14" s="103"/>
      <c r="P14" s="103"/>
      <c r="Q14" s="103"/>
      <c r="R14" s="103"/>
      <c r="S14" s="103"/>
      <c r="T14" s="103"/>
      <c r="U14" s="122" t="s">
        <v>46</v>
      </c>
      <c r="V14" s="135"/>
      <c r="W14" s="135"/>
      <c r="X14" s="135"/>
      <c r="Y14" s="135"/>
      <c r="Z14" s="135"/>
      <c r="AA14" s="135"/>
      <c r="AB14" s="136"/>
    </row>
    <row r="15" spans="1:28" s="137" customFormat="1" ht="43.2" customHeight="1" x14ac:dyDescent="0.45">
      <c r="A15" s="117"/>
      <c r="B15" s="99">
        <v>11</v>
      </c>
      <c r="C15" s="100" t="s">
        <v>88</v>
      </c>
      <c r="D15" s="100" t="s">
        <v>89</v>
      </c>
      <c r="E15" s="100" t="s">
        <v>88</v>
      </c>
      <c r="F15" s="100" t="s">
        <v>90</v>
      </c>
      <c r="G15" s="134" t="s">
        <v>91</v>
      </c>
      <c r="H15" s="102" t="s">
        <v>92</v>
      </c>
      <c r="I15" s="103"/>
      <c r="J15" s="103"/>
      <c r="K15" s="103" t="s">
        <v>95</v>
      </c>
      <c r="L15" s="103" t="s">
        <v>95</v>
      </c>
      <c r="M15" s="103" t="s">
        <v>96</v>
      </c>
      <c r="N15" s="103"/>
      <c r="O15" s="103"/>
      <c r="P15" s="103"/>
      <c r="Q15" s="103"/>
      <c r="R15" s="103"/>
      <c r="S15" s="103"/>
      <c r="T15" s="103"/>
      <c r="U15" s="138"/>
      <c r="V15" s="139"/>
      <c r="W15" s="139"/>
      <c r="X15" s="139"/>
      <c r="Y15" s="139"/>
      <c r="Z15" s="139"/>
      <c r="AA15" s="139"/>
      <c r="AB15" s="140"/>
    </row>
    <row r="16" spans="1:28" ht="43.2" customHeight="1" x14ac:dyDescent="0.45">
      <c r="A16" s="117" t="s">
        <v>97</v>
      </c>
      <c r="B16" s="99">
        <v>12</v>
      </c>
      <c r="C16" s="100" t="s">
        <v>98</v>
      </c>
      <c r="D16" s="100" t="s">
        <v>99</v>
      </c>
      <c r="E16" s="100" t="s">
        <v>98</v>
      </c>
      <c r="F16" s="100" t="s">
        <v>100</v>
      </c>
      <c r="G16" s="134" t="s">
        <v>101</v>
      </c>
      <c r="H16" s="102" t="s">
        <v>102</v>
      </c>
      <c r="I16" s="103"/>
      <c r="J16" s="103" t="s">
        <v>103</v>
      </c>
      <c r="K16" s="103" t="s">
        <v>103</v>
      </c>
      <c r="L16" s="103" t="s">
        <v>104</v>
      </c>
      <c r="M16" s="103" t="s">
        <v>104</v>
      </c>
      <c r="N16" s="103" t="s">
        <v>105</v>
      </c>
      <c r="O16" s="103"/>
      <c r="P16" s="103"/>
      <c r="Q16" s="103"/>
      <c r="R16" s="103"/>
      <c r="S16" s="103"/>
      <c r="T16" s="103"/>
      <c r="U16" s="122" t="s">
        <v>106</v>
      </c>
      <c r="V16" s="141"/>
      <c r="W16" s="141"/>
      <c r="X16" s="141"/>
      <c r="Y16" s="141"/>
      <c r="Z16" s="141"/>
      <c r="AA16" s="141"/>
      <c r="AB16" s="142"/>
    </row>
    <row r="17" spans="1:28" ht="43.2" customHeight="1" x14ac:dyDescent="0.45">
      <c r="A17" s="117"/>
      <c r="B17" s="99">
        <v>13</v>
      </c>
      <c r="C17" s="100" t="s">
        <v>98</v>
      </c>
      <c r="D17" s="100" t="s">
        <v>99</v>
      </c>
      <c r="E17" s="100" t="s">
        <v>98</v>
      </c>
      <c r="F17" s="100" t="s">
        <v>100</v>
      </c>
      <c r="G17" s="134" t="s">
        <v>101</v>
      </c>
      <c r="H17" s="102" t="s">
        <v>102</v>
      </c>
      <c r="I17" s="103"/>
      <c r="J17" s="103" t="s">
        <v>107</v>
      </c>
      <c r="K17" s="103" t="s">
        <v>96</v>
      </c>
      <c r="L17" s="103" t="s">
        <v>108</v>
      </c>
      <c r="M17" s="103" t="s">
        <v>107</v>
      </c>
      <c r="N17" s="103" t="s">
        <v>107</v>
      </c>
      <c r="O17" s="103"/>
      <c r="P17" s="103"/>
      <c r="Q17" s="103"/>
      <c r="R17" s="103"/>
      <c r="S17" s="103"/>
      <c r="T17" s="103"/>
      <c r="U17" s="138"/>
      <c r="V17" s="143"/>
      <c r="W17" s="143"/>
      <c r="X17" s="143"/>
      <c r="Y17" s="143"/>
      <c r="Z17" s="143"/>
      <c r="AA17" s="143"/>
      <c r="AB17" s="144"/>
    </row>
    <row r="18" spans="1:28" ht="43.2" customHeight="1" x14ac:dyDescent="0.45">
      <c r="A18" s="100" t="s">
        <v>109</v>
      </c>
      <c r="B18" s="99">
        <v>14</v>
      </c>
      <c r="C18" s="100" t="s">
        <v>110</v>
      </c>
      <c r="D18" s="100" t="s">
        <v>111</v>
      </c>
      <c r="E18" s="100" t="s">
        <v>110</v>
      </c>
      <c r="F18" s="100" t="s">
        <v>112</v>
      </c>
      <c r="G18" s="101" t="s">
        <v>113</v>
      </c>
      <c r="H18" s="102" t="s">
        <v>114</v>
      </c>
      <c r="I18" s="103"/>
      <c r="J18" s="103" t="s">
        <v>115</v>
      </c>
      <c r="K18" s="103" t="s">
        <v>116</v>
      </c>
      <c r="L18" s="103" t="s">
        <v>117</v>
      </c>
      <c r="M18" s="103" t="s">
        <v>118</v>
      </c>
      <c r="N18" s="103" t="s">
        <v>119</v>
      </c>
      <c r="O18" s="145"/>
      <c r="P18" s="146"/>
      <c r="Q18" s="146"/>
      <c r="R18" s="103"/>
      <c r="S18" s="103"/>
      <c r="T18" s="103"/>
      <c r="U18" s="147" t="s">
        <v>106</v>
      </c>
      <c r="V18" s="107"/>
      <c r="W18" s="107"/>
      <c r="X18" s="107"/>
      <c r="Y18" s="107"/>
      <c r="Z18" s="107"/>
      <c r="AA18" s="107"/>
      <c r="AB18" s="108"/>
    </row>
    <row r="19" spans="1:28" ht="43.2" customHeight="1" x14ac:dyDescent="0.45">
      <c r="A19" s="111" t="s">
        <v>120</v>
      </c>
      <c r="B19" s="99">
        <v>15</v>
      </c>
      <c r="C19" s="100" t="s">
        <v>121</v>
      </c>
      <c r="D19" s="100" t="s">
        <v>122</v>
      </c>
      <c r="E19" s="100" t="s">
        <v>121</v>
      </c>
      <c r="F19" s="100" t="s">
        <v>123</v>
      </c>
      <c r="G19" s="101" t="s">
        <v>124</v>
      </c>
      <c r="H19" s="102" t="s">
        <v>125</v>
      </c>
      <c r="I19" s="148" t="s">
        <v>126</v>
      </c>
      <c r="J19" s="148" t="s">
        <v>126</v>
      </c>
      <c r="K19" s="148" t="s">
        <v>126</v>
      </c>
      <c r="L19" s="148" t="s">
        <v>126</v>
      </c>
      <c r="M19" s="148" t="s">
        <v>126</v>
      </c>
      <c r="N19" s="105"/>
      <c r="O19" s="105"/>
      <c r="P19" s="105"/>
      <c r="Q19" s="105"/>
      <c r="R19" s="105"/>
      <c r="S19" s="105"/>
      <c r="T19" s="105"/>
      <c r="U19" s="149" t="s">
        <v>127</v>
      </c>
      <c r="V19" s="135"/>
      <c r="W19" s="135"/>
      <c r="X19" s="135"/>
      <c r="Y19" s="135"/>
      <c r="Z19" s="135"/>
      <c r="AA19" s="135"/>
      <c r="AB19" s="136"/>
    </row>
    <row r="20" spans="1:28" ht="43.2" customHeight="1" x14ac:dyDescent="0.45">
      <c r="A20" s="111"/>
      <c r="B20" s="99">
        <v>16</v>
      </c>
      <c r="C20" s="100" t="s">
        <v>121</v>
      </c>
      <c r="D20" s="100" t="s">
        <v>122</v>
      </c>
      <c r="E20" s="100" t="s">
        <v>121</v>
      </c>
      <c r="F20" s="100" t="s">
        <v>123</v>
      </c>
      <c r="G20" s="101" t="s">
        <v>124</v>
      </c>
      <c r="H20" s="102" t="s">
        <v>125</v>
      </c>
      <c r="I20" s="148" t="s">
        <v>128</v>
      </c>
      <c r="J20" s="148" t="s">
        <v>128</v>
      </c>
      <c r="K20" s="148" t="s">
        <v>128</v>
      </c>
      <c r="L20" s="148" t="s">
        <v>128</v>
      </c>
      <c r="M20" s="148" t="s">
        <v>128</v>
      </c>
      <c r="N20" s="105"/>
      <c r="O20" s="105"/>
      <c r="P20" s="105"/>
      <c r="Q20" s="105"/>
      <c r="R20" s="105"/>
      <c r="S20" s="105"/>
      <c r="T20" s="105"/>
      <c r="U20" s="150"/>
      <c r="V20" s="139"/>
      <c r="W20" s="139"/>
      <c r="X20" s="139"/>
      <c r="Y20" s="139"/>
      <c r="Z20" s="139"/>
      <c r="AA20" s="139"/>
      <c r="AB20" s="140"/>
    </row>
    <row r="21" spans="1:28" ht="43.2" customHeight="1" x14ac:dyDescent="0.45">
      <c r="A21" s="111"/>
      <c r="B21" s="99">
        <v>17</v>
      </c>
      <c r="C21" s="100" t="s">
        <v>121</v>
      </c>
      <c r="D21" s="100" t="s">
        <v>122</v>
      </c>
      <c r="E21" s="100" t="s">
        <v>121</v>
      </c>
      <c r="F21" s="100" t="s">
        <v>123</v>
      </c>
      <c r="G21" s="101" t="s">
        <v>124</v>
      </c>
      <c r="H21" s="102" t="s">
        <v>125</v>
      </c>
      <c r="I21" s="105" t="s">
        <v>129</v>
      </c>
      <c r="J21" s="105" t="s">
        <v>129</v>
      </c>
      <c r="K21" s="105" t="s">
        <v>129</v>
      </c>
      <c r="L21" s="105" t="s">
        <v>129</v>
      </c>
      <c r="M21" s="105" t="s">
        <v>129</v>
      </c>
      <c r="N21" s="105"/>
      <c r="O21" s="105"/>
      <c r="P21" s="105"/>
      <c r="Q21" s="105"/>
      <c r="R21" s="105"/>
      <c r="S21" s="105"/>
      <c r="T21" s="105"/>
      <c r="U21" s="150"/>
      <c r="V21" s="139"/>
      <c r="W21" s="139"/>
      <c r="X21" s="139"/>
      <c r="Y21" s="139"/>
      <c r="Z21" s="139"/>
      <c r="AA21" s="139"/>
      <c r="AB21" s="140"/>
    </row>
    <row r="22" spans="1:28" s="137" customFormat="1" ht="43.2" customHeight="1" x14ac:dyDescent="0.45">
      <c r="A22" s="125" t="s">
        <v>130</v>
      </c>
      <c r="B22" s="99">
        <v>18</v>
      </c>
      <c r="C22" s="100" t="s">
        <v>131</v>
      </c>
      <c r="D22" s="100" t="s">
        <v>132</v>
      </c>
      <c r="E22" s="100" t="s">
        <v>131</v>
      </c>
      <c r="F22" s="100" t="s">
        <v>133</v>
      </c>
      <c r="G22" s="101" t="s">
        <v>124</v>
      </c>
      <c r="H22" s="102" t="s">
        <v>125</v>
      </c>
      <c r="I22" s="151"/>
      <c r="J22" s="152" t="s">
        <v>126</v>
      </c>
      <c r="K22" s="152" t="s">
        <v>126</v>
      </c>
      <c r="L22" s="152" t="s">
        <v>126</v>
      </c>
      <c r="M22" s="152" t="s">
        <v>126</v>
      </c>
      <c r="N22" s="152" t="s">
        <v>126</v>
      </c>
      <c r="O22" s="152" t="s">
        <v>134</v>
      </c>
      <c r="P22" s="152" t="s">
        <v>134</v>
      </c>
      <c r="Q22" s="152"/>
      <c r="R22" s="152"/>
      <c r="S22" s="152"/>
      <c r="T22" s="148" t="s">
        <v>135</v>
      </c>
      <c r="U22" s="150"/>
      <c r="V22" s="135"/>
      <c r="W22" s="135"/>
      <c r="X22" s="135"/>
      <c r="Y22" s="135"/>
      <c r="Z22" s="135"/>
      <c r="AA22" s="135"/>
      <c r="AB22" s="136"/>
    </row>
    <row r="23" spans="1:28" s="137" customFormat="1" ht="43.2" customHeight="1" x14ac:dyDescent="0.45">
      <c r="A23" s="125"/>
      <c r="B23" s="99">
        <v>19</v>
      </c>
      <c r="C23" s="100" t="s">
        <v>131</v>
      </c>
      <c r="D23" s="100" t="s">
        <v>132</v>
      </c>
      <c r="E23" s="100" t="s">
        <v>131</v>
      </c>
      <c r="F23" s="100" t="s">
        <v>133</v>
      </c>
      <c r="G23" s="101" t="s">
        <v>124</v>
      </c>
      <c r="H23" s="102" t="s">
        <v>125</v>
      </c>
      <c r="I23" s="151"/>
      <c r="J23" s="152" t="s">
        <v>128</v>
      </c>
      <c r="K23" s="152" t="s">
        <v>128</v>
      </c>
      <c r="L23" s="152" t="s">
        <v>128</v>
      </c>
      <c r="M23" s="152" t="s">
        <v>128</v>
      </c>
      <c r="N23" s="152" t="s">
        <v>128</v>
      </c>
      <c r="O23" s="152" t="s">
        <v>136</v>
      </c>
      <c r="P23" s="152" t="s">
        <v>136</v>
      </c>
      <c r="Q23" s="152" t="s">
        <v>137</v>
      </c>
      <c r="R23" s="152" t="s">
        <v>137</v>
      </c>
      <c r="S23" s="152" t="s">
        <v>138</v>
      </c>
      <c r="T23" s="152"/>
      <c r="U23" s="150"/>
      <c r="V23" s="139"/>
      <c r="W23" s="139"/>
      <c r="X23" s="139"/>
      <c r="Y23" s="139"/>
      <c r="Z23" s="139"/>
      <c r="AA23" s="139"/>
      <c r="AB23" s="140"/>
    </row>
    <row r="24" spans="1:28" s="137" customFormat="1" ht="43.2" customHeight="1" x14ac:dyDescent="0.45">
      <c r="A24" s="125"/>
      <c r="B24" s="99">
        <v>20</v>
      </c>
      <c r="C24" s="100" t="s">
        <v>131</v>
      </c>
      <c r="D24" s="100" t="s">
        <v>132</v>
      </c>
      <c r="E24" s="100" t="s">
        <v>131</v>
      </c>
      <c r="F24" s="100" t="s">
        <v>133</v>
      </c>
      <c r="G24" s="101" t="s">
        <v>124</v>
      </c>
      <c r="H24" s="102" t="s">
        <v>125</v>
      </c>
      <c r="I24" s="151"/>
      <c r="J24" s="153" t="s">
        <v>129</v>
      </c>
      <c r="K24" s="153" t="s">
        <v>129</v>
      </c>
      <c r="L24" s="153" t="s">
        <v>129</v>
      </c>
      <c r="M24" s="153" t="s">
        <v>129</v>
      </c>
      <c r="N24" s="153" t="s">
        <v>129</v>
      </c>
      <c r="O24" s="152" t="s">
        <v>139</v>
      </c>
      <c r="P24" s="152" t="s">
        <v>139</v>
      </c>
      <c r="Q24" s="152" t="s">
        <v>140</v>
      </c>
      <c r="R24" s="152" t="s">
        <v>140</v>
      </c>
      <c r="S24" s="148" t="s">
        <v>141</v>
      </c>
      <c r="T24" s="153"/>
      <c r="U24" s="150"/>
      <c r="V24" s="139"/>
      <c r="W24" s="139"/>
      <c r="X24" s="139"/>
      <c r="Y24" s="139"/>
      <c r="Z24" s="139"/>
      <c r="AA24" s="139"/>
      <c r="AB24" s="140"/>
    </row>
    <row r="25" spans="1:28" s="137" customFormat="1" ht="43.2" customHeight="1" x14ac:dyDescent="0.45">
      <c r="A25" s="120" t="s">
        <v>142</v>
      </c>
      <c r="B25" s="99">
        <v>21</v>
      </c>
      <c r="C25" s="100" t="s">
        <v>143</v>
      </c>
      <c r="D25" s="100" t="s">
        <v>144</v>
      </c>
      <c r="E25" s="100" t="s">
        <v>143</v>
      </c>
      <c r="F25" s="100" t="s">
        <v>145</v>
      </c>
      <c r="G25" s="134" t="s">
        <v>146</v>
      </c>
      <c r="H25" s="102" t="s">
        <v>147</v>
      </c>
      <c r="I25" s="103"/>
      <c r="J25" s="103"/>
      <c r="K25" s="103"/>
      <c r="L25" s="103" t="s">
        <v>148</v>
      </c>
      <c r="M25" s="103" t="s">
        <v>148</v>
      </c>
      <c r="N25" s="103" t="s">
        <v>148</v>
      </c>
      <c r="O25" s="103" t="s">
        <v>148</v>
      </c>
      <c r="P25" s="103" t="s">
        <v>149</v>
      </c>
      <c r="Q25" s="103" t="s">
        <v>150</v>
      </c>
      <c r="R25" s="103" t="s">
        <v>150</v>
      </c>
      <c r="S25" s="103" t="s">
        <v>151</v>
      </c>
      <c r="T25" s="103"/>
      <c r="U25" s="122" t="s">
        <v>69</v>
      </c>
      <c r="V25" s="154"/>
      <c r="W25" s="154"/>
      <c r="X25" s="154"/>
      <c r="Y25" s="154"/>
      <c r="Z25" s="154"/>
      <c r="AA25" s="154"/>
      <c r="AB25" s="155"/>
    </row>
    <row r="26" spans="1:28" s="137" customFormat="1" ht="43.2" customHeight="1" x14ac:dyDescent="0.45">
      <c r="A26" s="125"/>
      <c r="B26" s="99">
        <v>22</v>
      </c>
      <c r="C26" s="100" t="s">
        <v>143</v>
      </c>
      <c r="D26" s="100" t="s">
        <v>144</v>
      </c>
      <c r="E26" s="100" t="s">
        <v>143</v>
      </c>
      <c r="F26" s="100" t="s">
        <v>145</v>
      </c>
      <c r="G26" s="134" t="s">
        <v>146</v>
      </c>
      <c r="H26" s="102" t="s">
        <v>147</v>
      </c>
      <c r="I26" s="103"/>
      <c r="J26" s="103"/>
      <c r="K26" s="103"/>
      <c r="L26" s="103" t="s">
        <v>152</v>
      </c>
      <c r="M26" s="103" t="s">
        <v>152</v>
      </c>
      <c r="N26" s="103" t="s">
        <v>152</v>
      </c>
      <c r="O26" s="103" t="s">
        <v>153</v>
      </c>
      <c r="P26" s="103" t="s">
        <v>154</v>
      </c>
      <c r="Q26" s="103" t="s">
        <v>155</v>
      </c>
      <c r="R26" s="103" t="s">
        <v>156</v>
      </c>
      <c r="S26" s="103" t="s">
        <v>157</v>
      </c>
      <c r="T26" s="103"/>
      <c r="U26" s="138"/>
      <c r="V26" s="156"/>
      <c r="W26" s="156"/>
      <c r="X26" s="156"/>
      <c r="Y26" s="156"/>
      <c r="Z26" s="156"/>
      <c r="AA26" s="156"/>
      <c r="AB26" s="157"/>
    </row>
    <row r="27" spans="1:28" ht="43.2" customHeight="1" x14ac:dyDescent="0.45">
      <c r="A27" s="125" t="s">
        <v>158</v>
      </c>
      <c r="B27" s="99">
        <v>23</v>
      </c>
      <c r="C27" s="100" t="s">
        <v>159</v>
      </c>
      <c r="D27" s="100" t="s">
        <v>160</v>
      </c>
      <c r="E27" s="100" t="s">
        <v>159</v>
      </c>
      <c r="F27" s="100" t="s">
        <v>161</v>
      </c>
      <c r="G27" s="101" t="s">
        <v>162</v>
      </c>
      <c r="H27" s="102" t="s">
        <v>163</v>
      </c>
      <c r="I27" s="103"/>
      <c r="J27" s="103"/>
      <c r="K27" s="103" t="s">
        <v>164</v>
      </c>
      <c r="L27" s="103" t="s">
        <v>165</v>
      </c>
      <c r="M27" s="103" t="s">
        <v>165</v>
      </c>
      <c r="N27" s="103" t="s">
        <v>165</v>
      </c>
      <c r="O27" s="103" t="s">
        <v>164</v>
      </c>
      <c r="P27" s="103" t="s">
        <v>164</v>
      </c>
      <c r="Q27" s="103" t="s">
        <v>166</v>
      </c>
      <c r="R27" s="103" t="s">
        <v>167</v>
      </c>
      <c r="S27" s="103" t="s">
        <v>167</v>
      </c>
      <c r="T27" s="158"/>
      <c r="U27" s="159"/>
      <c r="V27" s="154"/>
      <c r="W27" s="154"/>
      <c r="X27" s="154"/>
      <c r="Y27" s="154"/>
      <c r="Z27" s="154"/>
      <c r="AA27" s="154"/>
      <c r="AB27" s="155"/>
    </row>
    <row r="28" spans="1:28" ht="43.2" customHeight="1" x14ac:dyDescent="0.45">
      <c r="A28" s="125"/>
      <c r="B28" s="99">
        <v>24</v>
      </c>
      <c r="C28" s="100" t="s">
        <v>159</v>
      </c>
      <c r="D28" s="100" t="s">
        <v>160</v>
      </c>
      <c r="E28" s="100" t="s">
        <v>159</v>
      </c>
      <c r="F28" s="100" t="s">
        <v>161</v>
      </c>
      <c r="G28" s="101" t="s">
        <v>162</v>
      </c>
      <c r="H28" s="102" t="s">
        <v>163</v>
      </c>
      <c r="I28" s="103"/>
      <c r="J28" s="103"/>
      <c r="K28" s="103" t="s">
        <v>164</v>
      </c>
      <c r="L28" s="103" t="s">
        <v>165</v>
      </c>
      <c r="M28" s="103" t="s">
        <v>165</v>
      </c>
      <c r="N28" s="103" t="s">
        <v>165</v>
      </c>
      <c r="O28" s="103" t="s">
        <v>164</v>
      </c>
      <c r="P28" s="103" t="s">
        <v>164</v>
      </c>
      <c r="Q28" s="103" t="s">
        <v>166</v>
      </c>
      <c r="R28" s="103"/>
      <c r="S28" s="103"/>
      <c r="T28" s="158"/>
      <c r="U28" s="160"/>
      <c r="V28" s="156"/>
      <c r="W28" s="156"/>
      <c r="X28" s="156"/>
      <c r="Y28" s="156"/>
      <c r="Z28" s="156"/>
      <c r="AA28" s="156"/>
      <c r="AB28" s="157"/>
    </row>
    <row r="29" spans="1:28" ht="43.2" customHeight="1" x14ac:dyDescent="0.45">
      <c r="A29" s="125"/>
      <c r="B29" s="99">
        <v>25</v>
      </c>
      <c r="C29" s="100" t="s">
        <v>159</v>
      </c>
      <c r="D29" s="100" t="s">
        <v>160</v>
      </c>
      <c r="E29" s="100" t="s">
        <v>159</v>
      </c>
      <c r="F29" s="100" t="s">
        <v>161</v>
      </c>
      <c r="G29" s="101" t="s">
        <v>162</v>
      </c>
      <c r="H29" s="102" t="s">
        <v>163</v>
      </c>
      <c r="I29" s="103"/>
      <c r="J29" s="103"/>
      <c r="K29" s="103" t="s">
        <v>164</v>
      </c>
      <c r="L29" s="103" t="s">
        <v>165</v>
      </c>
      <c r="M29" s="103" t="s">
        <v>165</v>
      </c>
      <c r="N29" s="103" t="s">
        <v>165</v>
      </c>
      <c r="O29" s="103" t="s">
        <v>164</v>
      </c>
      <c r="P29" s="103" t="s">
        <v>164</v>
      </c>
      <c r="Q29" s="103"/>
      <c r="R29" s="103"/>
      <c r="S29" s="103"/>
      <c r="T29" s="158"/>
      <c r="U29" s="160"/>
      <c r="V29" s="156"/>
      <c r="W29" s="156"/>
      <c r="X29" s="156"/>
      <c r="Y29" s="156"/>
      <c r="Z29" s="156"/>
      <c r="AA29" s="156"/>
      <c r="AB29" s="157"/>
    </row>
    <row r="30" spans="1:28" ht="43.2" customHeight="1" x14ac:dyDescent="0.45">
      <c r="A30" s="125"/>
      <c r="B30" s="99">
        <v>26</v>
      </c>
      <c r="C30" s="100" t="s">
        <v>159</v>
      </c>
      <c r="D30" s="100" t="s">
        <v>160</v>
      </c>
      <c r="E30" s="100" t="s">
        <v>159</v>
      </c>
      <c r="F30" s="100" t="s">
        <v>161</v>
      </c>
      <c r="G30" s="101" t="s">
        <v>162</v>
      </c>
      <c r="H30" s="102" t="s">
        <v>163</v>
      </c>
      <c r="I30" s="103"/>
      <c r="J30" s="103"/>
      <c r="K30" s="103" t="s">
        <v>164</v>
      </c>
      <c r="L30" s="103" t="s">
        <v>165</v>
      </c>
      <c r="M30" s="103" t="s">
        <v>165</v>
      </c>
      <c r="N30" s="103" t="s">
        <v>165</v>
      </c>
      <c r="O30" s="103" t="s">
        <v>164</v>
      </c>
      <c r="P30" s="103"/>
      <c r="Q30" s="103"/>
      <c r="R30" s="103"/>
      <c r="S30" s="103"/>
      <c r="T30" s="158"/>
      <c r="U30" s="122" t="s">
        <v>168</v>
      </c>
      <c r="V30" s="156"/>
      <c r="W30" s="156"/>
      <c r="X30" s="156"/>
      <c r="Y30" s="156"/>
      <c r="Z30" s="156"/>
      <c r="AA30" s="156"/>
      <c r="AB30" s="157"/>
    </row>
    <row r="31" spans="1:28" ht="43.2" customHeight="1" x14ac:dyDescent="0.45">
      <c r="A31" s="161" t="s">
        <v>169</v>
      </c>
      <c r="B31" s="99">
        <v>27</v>
      </c>
      <c r="C31" s="100" t="s">
        <v>170</v>
      </c>
      <c r="D31" s="100" t="s">
        <v>171</v>
      </c>
      <c r="E31" s="100" t="s">
        <v>170</v>
      </c>
      <c r="F31" s="100" t="s">
        <v>172</v>
      </c>
      <c r="G31" s="101" t="s">
        <v>173</v>
      </c>
      <c r="H31" s="102" t="s">
        <v>174</v>
      </c>
      <c r="I31" s="103"/>
      <c r="J31" s="103"/>
      <c r="K31" s="103"/>
      <c r="L31" s="103" t="s">
        <v>175</v>
      </c>
      <c r="M31" s="103" t="s">
        <v>176</v>
      </c>
      <c r="N31" s="158"/>
      <c r="O31" s="103"/>
      <c r="P31" s="103"/>
      <c r="Q31" s="103"/>
      <c r="R31" s="103"/>
      <c r="S31" s="103"/>
      <c r="T31" s="103"/>
      <c r="U31" s="122" t="s">
        <v>79</v>
      </c>
      <c r="V31" s="135"/>
      <c r="W31" s="135"/>
      <c r="X31" s="135"/>
      <c r="Y31" s="135"/>
      <c r="Z31" s="135"/>
      <c r="AA31" s="135"/>
      <c r="AB31" s="136"/>
    </row>
    <row r="32" spans="1:28" ht="43.2" customHeight="1" x14ac:dyDescent="0.45">
      <c r="A32" s="111" t="s">
        <v>177</v>
      </c>
      <c r="B32" s="99">
        <v>28</v>
      </c>
      <c r="C32" s="100" t="s">
        <v>178</v>
      </c>
      <c r="D32" s="100" t="s">
        <v>179</v>
      </c>
      <c r="E32" s="100" t="s">
        <v>178</v>
      </c>
      <c r="F32" s="100" t="s">
        <v>180</v>
      </c>
      <c r="G32" s="101" t="s">
        <v>181</v>
      </c>
      <c r="H32" s="102" t="s">
        <v>182</v>
      </c>
      <c r="I32" s="103"/>
      <c r="J32" s="103"/>
      <c r="K32" s="103"/>
      <c r="L32" s="103"/>
      <c r="M32" s="103" t="s">
        <v>126</v>
      </c>
      <c r="N32" s="103" t="s">
        <v>126</v>
      </c>
      <c r="O32" s="103" t="s">
        <v>126</v>
      </c>
      <c r="P32" s="158"/>
      <c r="Q32" s="103" t="s">
        <v>126</v>
      </c>
      <c r="R32" s="103"/>
      <c r="S32" s="103" t="s">
        <v>183</v>
      </c>
      <c r="T32" s="103"/>
      <c r="U32" s="162"/>
      <c r="V32" s="154"/>
      <c r="W32" s="154"/>
      <c r="X32" s="154"/>
      <c r="Y32" s="154"/>
      <c r="Z32" s="154"/>
      <c r="AA32" s="154"/>
      <c r="AB32" s="155"/>
    </row>
    <row r="33" spans="1:28" ht="43.2" customHeight="1" x14ac:dyDescent="0.45">
      <c r="A33" s="111"/>
      <c r="B33" s="99">
        <v>29</v>
      </c>
      <c r="C33" s="100" t="s">
        <v>178</v>
      </c>
      <c r="D33" s="100" t="s">
        <v>179</v>
      </c>
      <c r="E33" s="100" t="s">
        <v>178</v>
      </c>
      <c r="F33" s="100" t="s">
        <v>180</v>
      </c>
      <c r="G33" s="101" t="s">
        <v>181</v>
      </c>
      <c r="H33" s="102" t="s">
        <v>182</v>
      </c>
      <c r="I33" s="103"/>
      <c r="J33" s="103"/>
      <c r="K33" s="103"/>
      <c r="L33" s="103"/>
      <c r="M33" s="103" t="s">
        <v>184</v>
      </c>
      <c r="N33" s="103" t="s">
        <v>184</v>
      </c>
      <c r="O33" s="103" t="s">
        <v>184</v>
      </c>
      <c r="P33" s="158"/>
      <c r="Q33" s="103" t="s">
        <v>184</v>
      </c>
      <c r="R33" s="103"/>
      <c r="S33" s="103" t="s">
        <v>185</v>
      </c>
      <c r="T33" s="103"/>
      <c r="U33" s="138"/>
      <c r="V33" s="156"/>
      <c r="W33" s="156"/>
      <c r="X33" s="156"/>
      <c r="Y33" s="156"/>
      <c r="Z33" s="156"/>
      <c r="AA33" s="156"/>
      <c r="AB33" s="157"/>
    </row>
    <row r="34" spans="1:28" ht="43.2" customHeight="1" x14ac:dyDescent="0.45">
      <c r="A34" s="111"/>
      <c r="B34" s="99">
        <v>30</v>
      </c>
      <c r="C34" s="100" t="s">
        <v>178</v>
      </c>
      <c r="D34" s="100" t="s">
        <v>179</v>
      </c>
      <c r="E34" s="100" t="s">
        <v>178</v>
      </c>
      <c r="F34" s="100" t="s">
        <v>180</v>
      </c>
      <c r="G34" s="101" t="s">
        <v>181</v>
      </c>
      <c r="H34" s="102" t="s">
        <v>182</v>
      </c>
      <c r="I34" s="103"/>
      <c r="J34" s="103"/>
      <c r="K34" s="103"/>
      <c r="L34" s="103"/>
      <c r="M34" s="103" t="s">
        <v>186</v>
      </c>
      <c r="N34" s="103" t="s">
        <v>186</v>
      </c>
      <c r="O34" s="103" t="s">
        <v>186</v>
      </c>
      <c r="P34" s="158"/>
      <c r="Q34" s="103" t="s">
        <v>186</v>
      </c>
      <c r="R34" s="103"/>
      <c r="S34" s="103"/>
      <c r="T34" s="103"/>
      <c r="U34" s="147" t="s">
        <v>106</v>
      </c>
      <c r="V34" s="156"/>
      <c r="W34" s="156"/>
      <c r="X34" s="156"/>
      <c r="Y34" s="156"/>
      <c r="Z34" s="156"/>
      <c r="AA34" s="156"/>
      <c r="AB34" s="157"/>
    </row>
    <row r="35" spans="1:28" ht="43.2" customHeight="1" x14ac:dyDescent="0.45">
      <c r="A35" s="125" t="s">
        <v>187</v>
      </c>
      <c r="B35" s="99">
        <v>31</v>
      </c>
      <c r="C35" s="100" t="s">
        <v>188</v>
      </c>
      <c r="D35" s="100" t="s">
        <v>189</v>
      </c>
      <c r="E35" s="100" t="s">
        <v>188</v>
      </c>
      <c r="F35" s="100" t="s">
        <v>190</v>
      </c>
      <c r="G35" s="163" t="s">
        <v>191</v>
      </c>
      <c r="H35" s="102" t="s">
        <v>192</v>
      </c>
      <c r="I35" s="164"/>
      <c r="J35" s="164"/>
      <c r="K35" s="164"/>
      <c r="L35" s="164"/>
      <c r="M35" s="164"/>
      <c r="N35" s="164"/>
      <c r="O35" s="164"/>
      <c r="P35" s="165"/>
      <c r="Q35" s="103" t="s">
        <v>193</v>
      </c>
      <c r="R35" s="103" t="s">
        <v>194</v>
      </c>
      <c r="S35" s="103" t="s">
        <v>195</v>
      </c>
      <c r="T35" s="166"/>
      <c r="U35" s="167" t="s">
        <v>79</v>
      </c>
      <c r="V35" s="168"/>
      <c r="W35" s="168"/>
      <c r="X35" s="168"/>
      <c r="Y35" s="168"/>
      <c r="Z35" s="168"/>
      <c r="AA35" s="168"/>
      <c r="AB35" s="169"/>
    </row>
    <row r="36" spans="1:28" ht="43.2" customHeight="1" x14ac:dyDescent="0.45">
      <c r="A36" s="125"/>
      <c r="B36" s="99">
        <v>32</v>
      </c>
      <c r="C36" s="100" t="s">
        <v>188</v>
      </c>
      <c r="D36" s="100" t="s">
        <v>189</v>
      </c>
      <c r="E36" s="100" t="s">
        <v>188</v>
      </c>
      <c r="F36" s="100" t="s">
        <v>190</v>
      </c>
      <c r="G36" s="163" t="s">
        <v>196</v>
      </c>
      <c r="H36" s="102" t="s">
        <v>197</v>
      </c>
      <c r="I36" s="103"/>
      <c r="J36" s="103"/>
      <c r="K36" s="103" t="s">
        <v>194</v>
      </c>
      <c r="L36" s="103" t="s">
        <v>194</v>
      </c>
      <c r="M36" s="103" t="s">
        <v>198</v>
      </c>
      <c r="N36" s="158"/>
      <c r="O36" s="103"/>
      <c r="P36" s="103"/>
      <c r="Q36" s="103"/>
      <c r="R36" s="103"/>
      <c r="S36" s="103"/>
      <c r="T36" s="103"/>
      <c r="U36" s="122" t="s">
        <v>79</v>
      </c>
      <c r="V36" s="135"/>
      <c r="W36" s="135"/>
      <c r="X36" s="135"/>
      <c r="Y36" s="135"/>
      <c r="Z36" s="135"/>
      <c r="AA36" s="135"/>
      <c r="AB36" s="136"/>
    </row>
    <row r="37" spans="1:28" ht="43.2" customHeight="1" x14ac:dyDescent="0.45">
      <c r="A37" s="111" t="s">
        <v>199</v>
      </c>
      <c r="B37" s="99">
        <v>33</v>
      </c>
      <c r="C37" s="100" t="s">
        <v>200</v>
      </c>
      <c r="D37" s="100" t="s">
        <v>201</v>
      </c>
      <c r="E37" s="100" t="s">
        <v>200</v>
      </c>
      <c r="F37" s="100" t="s">
        <v>202</v>
      </c>
      <c r="G37" s="163" t="s">
        <v>203</v>
      </c>
      <c r="H37" s="102" t="s">
        <v>204</v>
      </c>
      <c r="I37" s="164"/>
      <c r="J37" s="164"/>
      <c r="K37" s="164" t="s">
        <v>205</v>
      </c>
      <c r="L37" s="164" t="s">
        <v>206</v>
      </c>
      <c r="M37" s="164" t="s">
        <v>207</v>
      </c>
      <c r="N37" s="164" t="s">
        <v>208</v>
      </c>
      <c r="O37" s="164" t="s">
        <v>208</v>
      </c>
      <c r="P37" s="164"/>
      <c r="Q37" s="164" t="s">
        <v>209</v>
      </c>
      <c r="R37" s="164" t="s">
        <v>209</v>
      </c>
      <c r="S37" s="164" t="s">
        <v>210</v>
      </c>
      <c r="T37" s="164"/>
      <c r="U37" s="170" t="s">
        <v>46</v>
      </c>
      <c r="V37" s="135"/>
      <c r="W37" s="135"/>
      <c r="X37" s="135"/>
      <c r="Y37" s="135"/>
      <c r="Z37" s="135"/>
      <c r="AA37" s="135"/>
      <c r="AB37" s="136"/>
    </row>
    <row r="38" spans="1:28" ht="43.2" customHeight="1" x14ac:dyDescent="0.45">
      <c r="A38" s="111"/>
      <c r="B38" s="99">
        <v>34</v>
      </c>
      <c r="C38" s="100" t="s">
        <v>200</v>
      </c>
      <c r="D38" s="100" t="s">
        <v>201</v>
      </c>
      <c r="E38" s="100" t="s">
        <v>200</v>
      </c>
      <c r="F38" s="100" t="s">
        <v>202</v>
      </c>
      <c r="G38" s="163" t="s">
        <v>203</v>
      </c>
      <c r="H38" s="102" t="s">
        <v>204</v>
      </c>
      <c r="I38" s="164"/>
      <c r="J38" s="164"/>
      <c r="K38" s="164" t="s">
        <v>211</v>
      </c>
      <c r="L38" s="164" t="s">
        <v>212</v>
      </c>
      <c r="M38" s="164" t="s">
        <v>213</v>
      </c>
      <c r="N38" s="164" t="s">
        <v>214</v>
      </c>
      <c r="O38" s="164" t="s">
        <v>214</v>
      </c>
      <c r="P38" s="164"/>
      <c r="Q38" s="164" t="s">
        <v>215</v>
      </c>
      <c r="R38" s="164" t="s">
        <v>216</v>
      </c>
      <c r="S38" s="164" t="s">
        <v>213</v>
      </c>
      <c r="T38" s="164"/>
      <c r="U38" s="171"/>
      <c r="V38" s="139"/>
      <c r="W38" s="139"/>
      <c r="X38" s="139"/>
      <c r="Y38" s="139"/>
      <c r="Z38" s="139"/>
      <c r="AA38" s="139"/>
      <c r="AB38" s="140"/>
    </row>
    <row r="39" spans="1:28" ht="43.2" customHeight="1" x14ac:dyDescent="0.45">
      <c r="A39" s="172" t="s">
        <v>217</v>
      </c>
      <c r="B39" s="99">
        <v>35</v>
      </c>
      <c r="C39" s="100" t="s">
        <v>218</v>
      </c>
      <c r="D39" s="100" t="s">
        <v>219</v>
      </c>
      <c r="E39" s="100" t="s">
        <v>218</v>
      </c>
      <c r="F39" s="100" t="s">
        <v>220</v>
      </c>
      <c r="G39" s="134" t="s">
        <v>221</v>
      </c>
      <c r="H39" s="102" t="s">
        <v>222</v>
      </c>
      <c r="I39" s="103" t="s">
        <v>223</v>
      </c>
      <c r="J39" s="103" t="s">
        <v>224</v>
      </c>
      <c r="K39" s="103" t="s">
        <v>225</v>
      </c>
      <c r="L39" s="103" t="s">
        <v>226</v>
      </c>
      <c r="M39" s="103" t="s">
        <v>224</v>
      </c>
      <c r="N39" s="103" t="s">
        <v>224</v>
      </c>
      <c r="O39" s="103" t="s">
        <v>227</v>
      </c>
      <c r="P39" s="103" t="s">
        <v>228</v>
      </c>
      <c r="Q39" s="103" t="s">
        <v>226</v>
      </c>
      <c r="R39" s="103" t="s">
        <v>226</v>
      </c>
      <c r="S39" s="103"/>
      <c r="T39" s="103"/>
      <c r="U39" s="173" t="s">
        <v>79</v>
      </c>
      <c r="V39" s="135"/>
      <c r="W39" s="135"/>
      <c r="X39" s="135"/>
      <c r="Y39" s="135"/>
      <c r="Z39" s="135"/>
      <c r="AA39" s="135"/>
      <c r="AB39" s="136"/>
    </row>
    <row r="40" spans="1:28" ht="43.2" customHeight="1" x14ac:dyDescent="0.45">
      <c r="A40" s="172"/>
      <c r="B40" s="99">
        <v>36</v>
      </c>
      <c r="C40" s="100" t="s">
        <v>218</v>
      </c>
      <c r="D40" s="100" t="s">
        <v>219</v>
      </c>
      <c r="E40" s="100" t="s">
        <v>218</v>
      </c>
      <c r="F40" s="100" t="s">
        <v>220</v>
      </c>
      <c r="G40" s="134" t="s">
        <v>221</v>
      </c>
      <c r="H40" s="102" t="s">
        <v>222</v>
      </c>
      <c r="I40" s="103" t="s">
        <v>229</v>
      </c>
      <c r="J40" s="103" t="s">
        <v>230</v>
      </c>
      <c r="K40" s="103" t="s">
        <v>231</v>
      </c>
      <c r="L40" s="103" t="s">
        <v>232</v>
      </c>
      <c r="M40" s="103" t="s">
        <v>233</v>
      </c>
      <c r="N40" s="103" t="s">
        <v>234</v>
      </c>
      <c r="O40" s="103" t="s">
        <v>230</v>
      </c>
      <c r="P40" s="103" t="s">
        <v>232</v>
      </c>
      <c r="Q40" s="103" t="s">
        <v>234</v>
      </c>
      <c r="R40" s="103" t="s">
        <v>68</v>
      </c>
      <c r="S40" s="103"/>
      <c r="T40" s="103"/>
      <c r="U40" s="174"/>
      <c r="V40" s="139"/>
      <c r="W40" s="139"/>
      <c r="X40" s="139"/>
      <c r="Y40" s="139"/>
      <c r="Z40" s="139"/>
      <c r="AA40" s="139"/>
      <c r="AB40" s="140"/>
    </row>
    <row r="41" spans="1:28" ht="43.2" customHeight="1" x14ac:dyDescent="0.45">
      <c r="A41" s="117" t="s">
        <v>235</v>
      </c>
      <c r="B41" s="99">
        <v>37</v>
      </c>
      <c r="C41" s="100" t="s">
        <v>236</v>
      </c>
      <c r="D41" s="100" t="s">
        <v>237</v>
      </c>
      <c r="E41" s="100" t="s">
        <v>236</v>
      </c>
      <c r="F41" s="100" t="s">
        <v>238</v>
      </c>
      <c r="G41" s="134" t="s">
        <v>239</v>
      </c>
      <c r="H41" s="102" t="s">
        <v>240</v>
      </c>
      <c r="I41" s="164"/>
      <c r="J41" s="164"/>
      <c r="K41" s="112" t="s">
        <v>241</v>
      </c>
      <c r="L41" s="112" t="s">
        <v>241</v>
      </c>
      <c r="M41" s="112" t="s">
        <v>241</v>
      </c>
      <c r="N41" s="112" t="s">
        <v>241</v>
      </c>
      <c r="O41" s="112" t="s">
        <v>241</v>
      </c>
      <c r="P41" s="112" t="s">
        <v>241</v>
      </c>
      <c r="Q41" s="112"/>
      <c r="R41" s="112"/>
      <c r="S41" s="112"/>
      <c r="T41" s="112" t="s">
        <v>242</v>
      </c>
      <c r="U41" s="122" t="s">
        <v>243</v>
      </c>
      <c r="V41" s="135"/>
      <c r="W41" s="135"/>
      <c r="X41" s="135"/>
      <c r="Y41" s="135"/>
      <c r="Z41" s="135"/>
      <c r="AA41" s="135"/>
      <c r="AB41" s="136"/>
    </row>
    <row r="42" spans="1:28" ht="43.2" customHeight="1" x14ac:dyDescent="0.45">
      <c r="A42" s="117"/>
      <c r="B42" s="99">
        <v>38</v>
      </c>
      <c r="C42" s="100" t="s">
        <v>236</v>
      </c>
      <c r="D42" s="100" t="s">
        <v>237</v>
      </c>
      <c r="E42" s="100" t="s">
        <v>236</v>
      </c>
      <c r="F42" s="100" t="s">
        <v>238</v>
      </c>
      <c r="G42" s="134" t="s">
        <v>239</v>
      </c>
      <c r="H42" s="102" t="s">
        <v>240</v>
      </c>
      <c r="I42" s="164"/>
      <c r="J42" s="164"/>
      <c r="K42" s="112" t="s">
        <v>244</v>
      </c>
      <c r="L42" s="112" t="s">
        <v>244</v>
      </c>
      <c r="M42" s="112" t="s">
        <v>244</v>
      </c>
      <c r="N42" s="112" t="s">
        <v>244</v>
      </c>
      <c r="O42" s="112" t="s">
        <v>244</v>
      </c>
      <c r="P42" s="112" t="s">
        <v>244</v>
      </c>
      <c r="Q42" s="112" t="s">
        <v>245</v>
      </c>
      <c r="R42" s="112" t="s">
        <v>245</v>
      </c>
      <c r="S42" s="112" t="s">
        <v>246</v>
      </c>
      <c r="T42" s="112"/>
      <c r="U42" s="160"/>
      <c r="V42" s="139"/>
      <c r="W42" s="139"/>
      <c r="X42" s="139"/>
      <c r="Y42" s="139"/>
      <c r="Z42" s="139"/>
      <c r="AA42" s="139"/>
      <c r="AB42" s="140"/>
    </row>
    <row r="43" spans="1:28" ht="43.2" customHeight="1" x14ac:dyDescent="0.45">
      <c r="A43" s="117"/>
      <c r="B43" s="99">
        <v>39</v>
      </c>
      <c r="C43" s="100" t="s">
        <v>236</v>
      </c>
      <c r="D43" s="100" t="s">
        <v>237</v>
      </c>
      <c r="E43" s="100" t="s">
        <v>236</v>
      </c>
      <c r="F43" s="100" t="s">
        <v>238</v>
      </c>
      <c r="G43" s="134" t="s">
        <v>239</v>
      </c>
      <c r="H43" s="102" t="s">
        <v>240</v>
      </c>
      <c r="I43" s="164"/>
      <c r="J43" s="164"/>
      <c r="K43" s="112" t="s">
        <v>247</v>
      </c>
      <c r="L43" s="112" t="s">
        <v>247</v>
      </c>
      <c r="M43" s="112" t="s">
        <v>247</v>
      </c>
      <c r="N43" s="112" t="s">
        <v>247</v>
      </c>
      <c r="O43" s="112" t="s">
        <v>247</v>
      </c>
      <c r="P43" s="112" t="s">
        <v>247</v>
      </c>
      <c r="Q43" s="112" t="s">
        <v>248</v>
      </c>
      <c r="R43" s="112" t="s">
        <v>248</v>
      </c>
      <c r="S43" s="112"/>
      <c r="T43" s="112"/>
      <c r="U43" s="160"/>
      <c r="V43" s="139"/>
      <c r="W43" s="139"/>
      <c r="X43" s="139"/>
      <c r="Y43" s="139"/>
      <c r="Z43" s="139"/>
      <c r="AA43" s="139"/>
      <c r="AB43" s="140"/>
    </row>
    <row r="44" spans="1:28" ht="43.2" customHeight="1" x14ac:dyDescent="0.45">
      <c r="A44" s="117" t="s">
        <v>249</v>
      </c>
      <c r="B44" s="99">
        <v>40</v>
      </c>
      <c r="C44" s="100" t="s">
        <v>250</v>
      </c>
      <c r="D44" s="100" t="s">
        <v>251</v>
      </c>
      <c r="E44" s="100" t="s">
        <v>250</v>
      </c>
      <c r="F44" s="100" t="s">
        <v>252</v>
      </c>
      <c r="G44" s="134" t="s">
        <v>253</v>
      </c>
      <c r="H44" s="102" t="s">
        <v>254</v>
      </c>
      <c r="I44" s="112" t="s">
        <v>223</v>
      </c>
      <c r="J44" s="112" t="s">
        <v>223</v>
      </c>
      <c r="K44" s="112" t="s">
        <v>223</v>
      </c>
      <c r="L44" s="112" t="s">
        <v>223</v>
      </c>
      <c r="M44" s="112" t="s">
        <v>223</v>
      </c>
      <c r="N44" s="112" t="s">
        <v>223</v>
      </c>
      <c r="O44" s="112"/>
      <c r="P44" s="112"/>
      <c r="Q44" s="112"/>
      <c r="R44" s="112"/>
      <c r="S44" s="164"/>
      <c r="T44" s="164"/>
      <c r="U44" s="167" t="s">
        <v>79</v>
      </c>
      <c r="V44" s="175"/>
      <c r="W44" s="175"/>
      <c r="X44" s="175"/>
      <c r="Y44" s="175"/>
      <c r="Z44" s="175"/>
      <c r="AA44" s="175"/>
      <c r="AB44" s="176"/>
    </row>
    <row r="45" spans="1:28" ht="43.2" customHeight="1" x14ac:dyDescent="0.45">
      <c r="A45" s="117"/>
      <c r="B45" s="99">
        <v>41</v>
      </c>
      <c r="C45" s="100" t="s">
        <v>250</v>
      </c>
      <c r="D45" s="100" t="s">
        <v>251</v>
      </c>
      <c r="E45" s="100" t="s">
        <v>250</v>
      </c>
      <c r="F45" s="100" t="s">
        <v>252</v>
      </c>
      <c r="G45" s="134" t="s">
        <v>253</v>
      </c>
      <c r="H45" s="102" t="s">
        <v>254</v>
      </c>
      <c r="I45" s="112" t="s">
        <v>255</v>
      </c>
      <c r="J45" s="112" t="s">
        <v>255</v>
      </c>
      <c r="K45" s="112" t="s">
        <v>255</v>
      </c>
      <c r="L45" s="112" t="s">
        <v>255</v>
      </c>
      <c r="M45" s="112" t="s">
        <v>255</v>
      </c>
      <c r="N45" s="112" t="s">
        <v>255</v>
      </c>
      <c r="O45" s="103" t="s">
        <v>256</v>
      </c>
      <c r="P45" s="103" t="s">
        <v>256</v>
      </c>
      <c r="Q45" s="103" t="s">
        <v>256</v>
      </c>
      <c r="R45" s="103" t="s">
        <v>256</v>
      </c>
      <c r="S45" s="164"/>
      <c r="T45" s="164"/>
      <c r="U45" s="177"/>
      <c r="V45" s="178"/>
      <c r="W45" s="178"/>
      <c r="X45" s="178"/>
      <c r="Y45" s="178"/>
      <c r="Z45" s="178"/>
      <c r="AA45" s="178"/>
      <c r="AB45" s="179"/>
    </row>
    <row r="46" spans="1:28" ht="43.2" customHeight="1" x14ac:dyDescent="0.45">
      <c r="A46" s="117"/>
      <c r="B46" s="99">
        <v>42</v>
      </c>
      <c r="C46" s="100" t="s">
        <v>250</v>
      </c>
      <c r="D46" s="100" t="s">
        <v>251</v>
      </c>
      <c r="E46" s="100" t="s">
        <v>250</v>
      </c>
      <c r="F46" s="100" t="s">
        <v>252</v>
      </c>
      <c r="G46" s="134" t="s">
        <v>253</v>
      </c>
      <c r="H46" s="102" t="s">
        <v>254</v>
      </c>
      <c r="I46" s="112" t="s">
        <v>257</v>
      </c>
      <c r="J46" s="112" t="s">
        <v>257</v>
      </c>
      <c r="K46" s="112" t="s">
        <v>257</v>
      </c>
      <c r="L46" s="112" t="s">
        <v>257</v>
      </c>
      <c r="M46" s="112" t="s">
        <v>258</v>
      </c>
      <c r="N46" s="112" t="s">
        <v>258</v>
      </c>
      <c r="O46" s="103" t="s">
        <v>259</v>
      </c>
      <c r="P46" s="103" t="s">
        <v>259</v>
      </c>
      <c r="Q46" s="103" t="s">
        <v>259</v>
      </c>
      <c r="R46" s="103" t="s">
        <v>260</v>
      </c>
      <c r="S46" s="164"/>
      <c r="T46" s="164"/>
      <c r="U46" s="177"/>
      <c r="V46" s="178"/>
      <c r="W46" s="178"/>
      <c r="X46" s="178"/>
      <c r="Y46" s="178"/>
      <c r="Z46" s="178"/>
      <c r="AA46" s="178"/>
      <c r="AB46" s="179"/>
    </row>
    <row r="47" spans="1:28" ht="43.2" customHeight="1" x14ac:dyDescent="0.45">
      <c r="A47" s="117" t="s">
        <v>261</v>
      </c>
      <c r="B47" s="99">
        <v>43</v>
      </c>
      <c r="C47" s="100" t="s">
        <v>262</v>
      </c>
      <c r="D47" s="100" t="s">
        <v>263</v>
      </c>
      <c r="E47" s="100" t="s">
        <v>262</v>
      </c>
      <c r="F47" s="100" t="s">
        <v>264</v>
      </c>
      <c r="G47" s="134" t="s">
        <v>265</v>
      </c>
      <c r="H47" s="102" t="s">
        <v>266</v>
      </c>
      <c r="I47" s="103"/>
      <c r="J47" s="103"/>
      <c r="K47" s="103"/>
      <c r="L47" s="103"/>
      <c r="M47" s="103"/>
      <c r="N47" s="103"/>
      <c r="O47" s="103"/>
      <c r="P47" s="103"/>
      <c r="Q47" s="164" t="s">
        <v>267</v>
      </c>
      <c r="R47" s="164" t="s">
        <v>267</v>
      </c>
      <c r="S47" s="164" t="s">
        <v>267</v>
      </c>
      <c r="T47" s="103"/>
      <c r="U47" s="162"/>
      <c r="V47" s="135"/>
      <c r="W47" s="135"/>
      <c r="X47" s="135"/>
      <c r="Y47" s="135"/>
      <c r="Z47" s="135"/>
      <c r="AA47" s="135"/>
      <c r="AB47" s="136"/>
    </row>
    <row r="48" spans="1:28" ht="43.2" customHeight="1" x14ac:dyDescent="0.45">
      <c r="A48" s="117"/>
      <c r="B48" s="99">
        <v>44</v>
      </c>
      <c r="C48" s="100" t="s">
        <v>262</v>
      </c>
      <c r="D48" s="100" t="s">
        <v>263</v>
      </c>
      <c r="E48" s="100" t="s">
        <v>262</v>
      </c>
      <c r="F48" s="100" t="s">
        <v>264</v>
      </c>
      <c r="G48" s="134" t="s">
        <v>265</v>
      </c>
      <c r="H48" s="102" t="s">
        <v>266</v>
      </c>
      <c r="I48" s="103"/>
      <c r="J48" s="103"/>
      <c r="K48" s="103"/>
      <c r="L48" s="103"/>
      <c r="M48" s="103"/>
      <c r="N48" s="103"/>
      <c r="O48" s="103"/>
      <c r="P48" s="103"/>
      <c r="Q48" s="164" t="s">
        <v>117</v>
      </c>
      <c r="R48" s="164" t="s">
        <v>117</v>
      </c>
      <c r="S48" s="164" t="s">
        <v>117</v>
      </c>
      <c r="T48" s="103"/>
      <c r="U48" s="147" t="s">
        <v>79</v>
      </c>
      <c r="V48" s="139"/>
      <c r="W48" s="139"/>
      <c r="X48" s="139"/>
      <c r="Y48" s="139"/>
      <c r="Z48" s="139"/>
      <c r="AA48" s="139"/>
      <c r="AB48" s="140"/>
    </row>
    <row r="49" spans="1:28" ht="43.2" customHeight="1" x14ac:dyDescent="0.45">
      <c r="A49" s="117"/>
      <c r="B49" s="99">
        <v>45</v>
      </c>
      <c r="C49" s="100" t="s">
        <v>262</v>
      </c>
      <c r="D49" s="100" t="s">
        <v>263</v>
      </c>
      <c r="E49" s="100" t="s">
        <v>262</v>
      </c>
      <c r="F49" s="100" t="s">
        <v>264</v>
      </c>
      <c r="G49" s="134" t="s">
        <v>268</v>
      </c>
      <c r="H49" s="102" t="s">
        <v>269</v>
      </c>
      <c r="I49" s="164" t="s">
        <v>78</v>
      </c>
      <c r="J49" s="164" t="s">
        <v>270</v>
      </c>
      <c r="K49" s="164" t="s">
        <v>271</v>
      </c>
      <c r="L49" s="164" t="s">
        <v>56</v>
      </c>
      <c r="M49" s="164" t="s">
        <v>271</v>
      </c>
      <c r="N49" s="164"/>
      <c r="O49" s="164"/>
      <c r="P49" s="164"/>
      <c r="Q49" s="164"/>
      <c r="R49" s="164"/>
      <c r="S49" s="164"/>
      <c r="T49" s="164"/>
      <c r="U49" s="167" t="s">
        <v>127</v>
      </c>
      <c r="V49" s="135"/>
      <c r="W49" s="135"/>
      <c r="X49" s="135"/>
      <c r="Y49" s="135"/>
      <c r="Z49" s="135"/>
      <c r="AA49" s="135"/>
      <c r="AB49" s="136"/>
    </row>
    <row r="50" spans="1:28" ht="43.2" customHeight="1" x14ac:dyDescent="0.45">
      <c r="A50" s="117"/>
      <c r="B50" s="99">
        <v>46</v>
      </c>
      <c r="C50" s="100" t="s">
        <v>262</v>
      </c>
      <c r="D50" s="100" t="s">
        <v>263</v>
      </c>
      <c r="E50" s="100" t="s">
        <v>262</v>
      </c>
      <c r="F50" s="100" t="s">
        <v>264</v>
      </c>
      <c r="G50" s="134" t="s">
        <v>268</v>
      </c>
      <c r="H50" s="102" t="s">
        <v>269</v>
      </c>
      <c r="I50" s="164" t="s">
        <v>272</v>
      </c>
      <c r="J50" s="164" t="s">
        <v>273</v>
      </c>
      <c r="K50" s="164" t="s">
        <v>274</v>
      </c>
      <c r="L50" s="164" t="s">
        <v>275</v>
      </c>
      <c r="M50" s="164" t="s">
        <v>274</v>
      </c>
      <c r="N50" s="164"/>
      <c r="O50" s="164"/>
      <c r="P50" s="164"/>
      <c r="Q50" s="164"/>
      <c r="R50" s="164"/>
      <c r="S50" s="164"/>
      <c r="T50" s="164"/>
      <c r="U50" s="177"/>
      <c r="V50" s="139"/>
      <c r="W50" s="139"/>
      <c r="X50" s="139"/>
      <c r="Y50" s="139"/>
      <c r="Z50" s="139"/>
      <c r="AA50" s="139"/>
      <c r="AB50" s="140"/>
    </row>
    <row r="51" spans="1:28" s="137" customFormat="1" ht="43.2" customHeight="1" x14ac:dyDescent="0.45">
      <c r="A51" s="100" t="s">
        <v>276</v>
      </c>
      <c r="B51" s="99">
        <v>47</v>
      </c>
      <c r="C51" s="100" t="s">
        <v>277</v>
      </c>
      <c r="D51" s="100" t="s">
        <v>278</v>
      </c>
      <c r="E51" s="100" t="s">
        <v>277</v>
      </c>
      <c r="F51" s="100" t="s">
        <v>279</v>
      </c>
      <c r="G51" s="134" t="s">
        <v>280</v>
      </c>
      <c r="H51" s="102" t="s">
        <v>281</v>
      </c>
      <c r="I51" s="164"/>
      <c r="J51" s="164"/>
      <c r="K51" s="164"/>
      <c r="L51" s="164"/>
      <c r="M51" s="164"/>
      <c r="N51" s="164" t="s">
        <v>282</v>
      </c>
      <c r="O51" s="164" t="s">
        <v>283</v>
      </c>
      <c r="P51" s="164" t="s">
        <v>284</v>
      </c>
      <c r="Q51" s="164" t="s">
        <v>285</v>
      </c>
      <c r="R51" s="164" t="s">
        <v>286</v>
      </c>
      <c r="S51" s="164" t="s">
        <v>287</v>
      </c>
      <c r="T51" s="164" t="s">
        <v>195</v>
      </c>
      <c r="U51" s="167" t="s">
        <v>79</v>
      </c>
      <c r="V51" s="135"/>
      <c r="W51" s="135"/>
      <c r="X51" s="135"/>
      <c r="Y51" s="135"/>
      <c r="Z51" s="135"/>
      <c r="AA51" s="135"/>
      <c r="AB51" s="136"/>
    </row>
    <row r="52" spans="1:28" ht="43.2" customHeight="1" x14ac:dyDescent="0.45">
      <c r="A52" s="100" t="s">
        <v>288</v>
      </c>
      <c r="B52" s="99">
        <v>48</v>
      </c>
      <c r="C52" s="100" t="s">
        <v>289</v>
      </c>
      <c r="D52" s="100" t="s">
        <v>290</v>
      </c>
      <c r="E52" s="100" t="s">
        <v>289</v>
      </c>
      <c r="F52" s="100" t="s">
        <v>291</v>
      </c>
      <c r="G52" s="134" t="s">
        <v>292</v>
      </c>
      <c r="H52" s="102" t="s">
        <v>293</v>
      </c>
      <c r="I52" s="164" t="s">
        <v>294</v>
      </c>
      <c r="J52" s="164" t="s">
        <v>295</v>
      </c>
      <c r="K52" s="164" t="s">
        <v>296</v>
      </c>
      <c r="L52" s="164" t="s">
        <v>297</v>
      </c>
      <c r="M52" s="164"/>
      <c r="N52" s="164"/>
      <c r="O52" s="164"/>
      <c r="P52" s="164"/>
      <c r="Q52" s="164"/>
      <c r="R52" s="164"/>
      <c r="S52" s="164"/>
      <c r="T52" s="164"/>
      <c r="U52" s="167" t="s">
        <v>46</v>
      </c>
      <c r="V52" s="180"/>
      <c r="W52" s="180"/>
      <c r="X52" s="180"/>
      <c r="Y52" s="180"/>
      <c r="Z52" s="180"/>
      <c r="AA52" s="180"/>
      <c r="AB52" s="181"/>
    </row>
    <row r="53" spans="1:28" ht="43.2" customHeight="1" x14ac:dyDescent="0.45">
      <c r="A53" s="100" t="s">
        <v>298</v>
      </c>
      <c r="B53" s="99">
        <v>49</v>
      </c>
      <c r="C53" s="100" t="s">
        <v>299</v>
      </c>
      <c r="D53" s="100" t="s">
        <v>300</v>
      </c>
      <c r="E53" s="100" t="s">
        <v>299</v>
      </c>
      <c r="F53" s="100" t="s">
        <v>301</v>
      </c>
      <c r="G53" s="134" t="s">
        <v>292</v>
      </c>
      <c r="H53" s="102" t="s">
        <v>302</v>
      </c>
      <c r="I53" s="164"/>
      <c r="J53" s="164"/>
      <c r="K53" s="164"/>
      <c r="L53" s="164"/>
      <c r="M53" s="164"/>
      <c r="N53" s="164"/>
      <c r="O53" s="164" t="s">
        <v>303</v>
      </c>
      <c r="P53" s="164" t="s">
        <v>304</v>
      </c>
      <c r="Q53" s="164" t="s">
        <v>305</v>
      </c>
      <c r="R53" s="164" t="s">
        <v>305</v>
      </c>
      <c r="S53" s="164"/>
      <c r="T53" s="164"/>
      <c r="U53" s="167" t="s">
        <v>79</v>
      </c>
      <c r="V53" s="141"/>
      <c r="W53" s="141"/>
      <c r="X53" s="141"/>
      <c r="Y53" s="141"/>
      <c r="Z53" s="141"/>
      <c r="AA53" s="141"/>
      <c r="AB53" s="142"/>
    </row>
    <row r="54" spans="1:28" ht="43.2" customHeight="1" x14ac:dyDescent="0.45">
      <c r="T54" s="59"/>
      <c r="U54" s="59"/>
      <c r="V54" s="59"/>
      <c r="W54" s="59"/>
      <c r="X54" s="59"/>
      <c r="Y54" s="59"/>
      <c r="Z54" s="59"/>
      <c r="AA54" s="59"/>
    </row>
    <row r="55" spans="1:28" ht="43.2" customHeight="1" x14ac:dyDescent="0.45">
      <c r="T55" s="59"/>
      <c r="U55" s="59"/>
      <c r="V55" s="59"/>
      <c r="W55" s="59"/>
      <c r="X55" s="59"/>
      <c r="Y55" s="59"/>
      <c r="Z55" s="59"/>
      <c r="AA55" s="59"/>
    </row>
    <row r="56" spans="1:28" s="57" customFormat="1" ht="43.2" customHeight="1" x14ac:dyDescent="0.45">
      <c r="A56" s="182"/>
      <c r="B56" s="183"/>
      <c r="C56" s="182"/>
      <c r="D56" s="182"/>
      <c r="E56" s="182"/>
      <c r="F56" s="182"/>
      <c r="G56" s="182"/>
      <c r="H56" s="59"/>
      <c r="I56" s="56"/>
      <c r="J56" s="184"/>
      <c r="K56" s="56"/>
      <c r="L56" s="56"/>
      <c r="M56" s="56"/>
      <c r="N56" s="56"/>
      <c r="O56" s="56"/>
      <c r="P56" s="56"/>
      <c r="Q56" s="56"/>
      <c r="R56" s="56"/>
      <c r="S56" s="56"/>
      <c r="T56" s="59"/>
      <c r="U56" s="59"/>
      <c r="V56" s="59"/>
      <c r="W56" s="59"/>
      <c r="X56" s="59"/>
      <c r="Y56" s="59"/>
      <c r="Z56" s="59"/>
      <c r="AA56" s="59"/>
    </row>
  </sheetData>
  <autoFilter ref="A4:AB53">
    <filterColumn colId="6" showButton="0"/>
    <filterColumn colId="7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</autoFilter>
  <mergeCells count="41">
    <mergeCell ref="A47:A50"/>
    <mergeCell ref="V47:AB48"/>
    <mergeCell ref="V49:AB50"/>
    <mergeCell ref="V51:AB51"/>
    <mergeCell ref="V52:AB52"/>
    <mergeCell ref="V53:AB53"/>
    <mergeCell ref="A39:A40"/>
    <mergeCell ref="U39:U40"/>
    <mergeCell ref="V39:AB40"/>
    <mergeCell ref="A41:A43"/>
    <mergeCell ref="V41:AB43"/>
    <mergeCell ref="A44:A46"/>
    <mergeCell ref="V44:AB46"/>
    <mergeCell ref="A35:A36"/>
    <mergeCell ref="V35:AB35"/>
    <mergeCell ref="V36:AB36"/>
    <mergeCell ref="A37:A38"/>
    <mergeCell ref="U37:U38"/>
    <mergeCell ref="V37:AB38"/>
    <mergeCell ref="A25:A26"/>
    <mergeCell ref="V25:AB26"/>
    <mergeCell ref="A27:A30"/>
    <mergeCell ref="V27:AB30"/>
    <mergeCell ref="V31:AB31"/>
    <mergeCell ref="A32:A34"/>
    <mergeCell ref="V32:AB34"/>
    <mergeCell ref="A14:A15"/>
    <mergeCell ref="V14:AB15"/>
    <mergeCell ref="A16:A17"/>
    <mergeCell ref="V16:AB17"/>
    <mergeCell ref="A19:A21"/>
    <mergeCell ref="U19:U24"/>
    <mergeCell ref="V19:AB21"/>
    <mergeCell ref="A22:A24"/>
    <mergeCell ref="V22:AB24"/>
    <mergeCell ref="A5:A8"/>
    <mergeCell ref="A9:A10"/>
    <mergeCell ref="V9:AB10"/>
    <mergeCell ref="A11:A13"/>
    <mergeCell ref="V11:AB11"/>
    <mergeCell ref="V12:AB13"/>
  </mergeCells>
  <phoneticPr fontId="2"/>
  <conditionalFormatting sqref="O36:T36 I19:M21 O19:T21 S44:T46 I25:K26 O31:T31 N49:T50 J35:S35 U6 T6:T8 U35:U36 I41:J43 I31:J31 I52:T52 I53:U53 I32:L34 I18 I51:L51 I27:I30 I35:I38 I5:J8 I47:T48 U44:U50">
    <cfRule type="expression" dxfId="187" priority="181">
      <formula>AND(#REF!="調整中")</formula>
    </cfRule>
  </conditionalFormatting>
  <conditionalFormatting sqref="O36:T36 I19:M21 O19:T21 S44:T46 I25:K26 O31:T31 N49:T50 J35:S35 U6 T6:T8 U35:U36 I41:J43 I31:J31 I52:T52 I53:U53 I32:L34 I18 I51:L51 I27:I30 I35:I38 I5:J8 I47:T48 U44:U50">
    <cfRule type="expression" dxfId="186" priority="182">
      <formula>AND(#REF!="協議中")</formula>
    </cfRule>
  </conditionalFormatting>
  <conditionalFormatting sqref="T32:T34">
    <cfRule type="expression" dxfId="185" priority="179">
      <formula>AND(#REF!="調整中")</formula>
    </cfRule>
  </conditionalFormatting>
  <conditionalFormatting sqref="T32:T34">
    <cfRule type="expression" dxfId="184" priority="180">
      <formula>AND(#REF!="協議中")</formula>
    </cfRule>
  </conditionalFormatting>
  <conditionalFormatting sqref="P18:T18">
    <cfRule type="expression" dxfId="183" priority="178">
      <formula>AND(#REF!="協議中")</formula>
    </cfRule>
  </conditionalFormatting>
  <conditionalFormatting sqref="P18:T18">
    <cfRule type="expression" dxfId="182" priority="177">
      <formula>AND(#REF!="調整中")</formula>
    </cfRule>
  </conditionalFormatting>
  <conditionalFormatting sqref="J36">
    <cfRule type="expression" dxfId="181" priority="175">
      <formula>AND(#REF!="調整中")</formula>
    </cfRule>
  </conditionalFormatting>
  <conditionalFormatting sqref="J36">
    <cfRule type="expression" dxfId="180" priority="176">
      <formula>AND(#REF!="協議中")</formula>
    </cfRule>
  </conditionalFormatting>
  <conditionalFormatting sqref="S34">
    <cfRule type="expression" dxfId="179" priority="173">
      <formula>AND(#REF!="調整中")</formula>
    </cfRule>
  </conditionalFormatting>
  <conditionalFormatting sqref="S34">
    <cfRule type="expression" dxfId="178" priority="174">
      <formula>AND(#REF!="協議中")</formula>
    </cfRule>
  </conditionalFormatting>
  <conditionalFormatting sqref="M32">
    <cfRule type="expression" dxfId="177" priority="171">
      <formula>AND(#REF!="調整中")</formula>
    </cfRule>
  </conditionalFormatting>
  <conditionalFormatting sqref="M32">
    <cfRule type="expression" dxfId="176" priority="172">
      <formula>AND(#REF!="協議中")</formula>
    </cfRule>
  </conditionalFormatting>
  <conditionalFormatting sqref="M33">
    <cfRule type="expression" dxfId="175" priority="169">
      <formula>AND(#REF!="調整中")</formula>
    </cfRule>
  </conditionalFormatting>
  <conditionalFormatting sqref="M33">
    <cfRule type="expression" dxfId="174" priority="170">
      <formula>AND(#REF!="協議中")</formula>
    </cfRule>
  </conditionalFormatting>
  <conditionalFormatting sqref="M34">
    <cfRule type="expression" dxfId="173" priority="167">
      <formula>AND(#REF!="調整中")</formula>
    </cfRule>
  </conditionalFormatting>
  <conditionalFormatting sqref="M34">
    <cfRule type="expression" dxfId="172" priority="168">
      <formula>AND(#REF!="協議中")</formula>
    </cfRule>
  </conditionalFormatting>
  <conditionalFormatting sqref="N32:O32">
    <cfRule type="expression" dxfId="171" priority="165">
      <formula>AND(#REF!="調整中")</formula>
    </cfRule>
  </conditionalFormatting>
  <conditionalFormatting sqref="N32:O32">
    <cfRule type="expression" dxfId="170" priority="166">
      <formula>AND(#REF!="協議中")</formula>
    </cfRule>
  </conditionalFormatting>
  <conditionalFormatting sqref="N33:O33">
    <cfRule type="expression" dxfId="169" priority="163">
      <formula>AND(#REF!="調整中")</formula>
    </cfRule>
  </conditionalFormatting>
  <conditionalFormatting sqref="N33:O33">
    <cfRule type="expression" dxfId="168" priority="164">
      <formula>AND(#REF!="協議中")</formula>
    </cfRule>
  </conditionalFormatting>
  <conditionalFormatting sqref="N34:O34">
    <cfRule type="expression" dxfId="167" priority="161">
      <formula>AND(#REF!="調整中")</formula>
    </cfRule>
  </conditionalFormatting>
  <conditionalFormatting sqref="N34:O34">
    <cfRule type="expression" dxfId="166" priority="162">
      <formula>AND(#REF!="協議中")</formula>
    </cfRule>
  </conditionalFormatting>
  <conditionalFormatting sqref="S32">
    <cfRule type="expression" dxfId="165" priority="159">
      <formula>AND(#REF!="調整中")</formula>
    </cfRule>
  </conditionalFormatting>
  <conditionalFormatting sqref="S32">
    <cfRule type="expression" dxfId="164" priority="160">
      <formula>AND(#REF!="協議中")</formula>
    </cfRule>
  </conditionalFormatting>
  <conditionalFormatting sqref="Q32">
    <cfRule type="expression" dxfId="163" priority="157">
      <formula>AND(#REF!="調整中")</formula>
    </cfRule>
  </conditionalFormatting>
  <conditionalFormatting sqref="Q32">
    <cfRule type="expression" dxfId="162" priority="158">
      <formula>AND(#REF!="協議中")</formula>
    </cfRule>
  </conditionalFormatting>
  <conditionalFormatting sqref="Q33">
    <cfRule type="expression" dxfId="161" priority="155">
      <formula>AND(#REF!="調整中")</formula>
    </cfRule>
  </conditionalFormatting>
  <conditionalFormatting sqref="Q33">
    <cfRule type="expression" dxfId="160" priority="156">
      <formula>AND(#REF!="協議中")</formula>
    </cfRule>
  </conditionalFormatting>
  <conditionalFormatting sqref="Q34">
    <cfRule type="expression" dxfId="159" priority="153">
      <formula>AND(#REF!="調整中")</formula>
    </cfRule>
  </conditionalFormatting>
  <conditionalFormatting sqref="Q34">
    <cfRule type="expression" dxfId="158" priority="154">
      <formula>AND(#REF!="協議中")</formula>
    </cfRule>
  </conditionalFormatting>
  <conditionalFormatting sqref="R32:R34">
    <cfRule type="expression" dxfId="157" priority="151">
      <formula>AND(#REF!="調整中")</formula>
    </cfRule>
  </conditionalFormatting>
  <conditionalFormatting sqref="R32:R34">
    <cfRule type="expression" dxfId="156" priority="152">
      <formula>AND(#REF!="協議中")</formula>
    </cfRule>
  </conditionalFormatting>
  <conditionalFormatting sqref="S33">
    <cfRule type="expression" dxfId="155" priority="149">
      <formula>AND(#REF!="調整中")</formula>
    </cfRule>
  </conditionalFormatting>
  <conditionalFormatting sqref="S33">
    <cfRule type="expression" dxfId="154" priority="150">
      <formula>AND(#REF!="協議中")</formula>
    </cfRule>
  </conditionalFormatting>
  <conditionalFormatting sqref="N19:N21">
    <cfRule type="expression" dxfId="153" priority="147">
      <formula>AND(#REF!="調整中")</formula>
    </cfRule>
  </conditionalFormatting>
  <conditionalFormatting sqref="N19:N21">
    <cfRule type="expression" dxfId="152" priority="148">
      <formula>AND(#REF!="協議中")</formula>
    </cfRule>
  </conditionalFormatting>
  <conditionalFormatting sqref="N51:T51">
    <cfRule type="expression" dxfId="151" priority="145">
      <formula>AND(#REF!="調整中")</formula>
    </cfRule>
  </conditionalFormatting>
  <conditionalFormatting sqref="N51:T51">
    <cfRule type="expression" dxfId="150" priority="146">
      <formula>AND(#REF!="協議中")</formula>
    </cfRule>
  </conditionalFormatting>
  <conditionalFormatting sqref="M51">
    <cfRule type="expression" dxfId="149" priority="143">
      <formula>AND(#REF!="調整中")</formula>
    </cfRule>
  </conditionalFormatting>
  <conditionalFormatting sqref="M51">
    <cfRule type="expression" dxfId="148" priority="144">
      <formula>AND(#REF!="協議中")</formula>
    </cfRule>
  </conditionalFormatting>
  <conditionalFormatting sqref="I44:R46">
    <cfRule type="expression" dxfId="147" priority="141">
      <formula>AND(#REF!="調整中")</formula>
    </cfRule>
  </conditionalFormatting>
  <conditionalFormatting sqref="I44:R46">
    <cfRule type="expression" dxfId="146" priority="142">
      <formula>AND(#REF!="協議中")</formula>
    </cfRule>
  </conditionalFormatting>
  <conditionalFormatting sqref="K41:T43">
    <cfRule type="expression" dxfId="145" priority="139">
      <formula>AND(#REF!="調整中")</formula>
    </cfRule>
  </conditionalFormatting>
  <conditionalFormatting sqref="K41:T43">
    <cfRule type="expression" dxfId="144" priority="140">
      <formula>AND(#REF!="協議中")</formula>
    </cfRule>
  </conditionalFormatting>
  <conditionalFormatting sqref="K6:S8">
    <cfRule type="expression" dxfId="143" priority="137">
      <formula>AND(#REF!="調整中")</formula>
    </cfRule>
  </conditionalFormatting>
  <conditionalFormatting sqref="K6:S8">
    <cfRule type="expression" dxfId="142" priority="138">
      <formula>AND(#REF!="協議中")</formula>
    </cfRule>
  </conditionalFormatting>
  <conditionalFormatting sqref="J27:J30">
    <cfRule type="expression" dxfId="141" priority="135">
      <formula>AND(#REF!="調整中")</formula>
    </cfRule>
  </conditionalFormatting>
  <conditionalFormatting sqref="J27:J30">
    <cfRule type="expression" dxfId="140" priority="136">
      <formula>AND(#REF!="協議中")</formula>
    </cfRule>
  </conditionalFormatting>
  <conditionalFormatting sqref="L27:S30">
    <cfRule type="expression" dxfId="139" priority="133">
      <formula>AND(#REF!="調整中")</formula>
    </cfRule>
  </conditionalFormatting>
  <conditionalFormatting sqref="L27:S30">
    <cfRule type="expression" dxfId="138" priority="134">
      <formula>AND(#REF!="協議中")</formula>
    </cfRule>
  </conditionalFormatting>
  <conditionalFormatting sqref="K27:K30">
    <cfRule type="expression" dxfId="137" priority="131">
      <formula>AND(#REF!="調整中")</formula>
    </cfRule>
  </conditionalFormatting>
  <conditionalFormatting sqref="K27:K30">
    <cfRule type="expression" dxfId="136" priority="132">
      <formula>AND(#REF!="協議中")</formula>
    </cfRule>
  </conditionalFormatting>
  <conditionalFormatting sqref="J22:R24">
    <cfRule type="expression" dxfId="135" priority="129">
      <formula>AND(#REF!="調整中")</formula>
    </cfRule>
  </conditionalFormatting>
  <conditionalFormatting sqref="J22:R24">
    <cfRule type="expression" dxfId="134" priority="130">
      <formula>AND(#REF!="協議中")</formula>
    </cfRule>
  </conditionalFormatting>
  <conditionalFormatting sqref="I22:I24">
    <cfRule type="expression" dxfId="133" priority="127">
      <formula>AND(#REF!="調整中")</formula>
    </cfRule>
  </conditionalFormatting>
  <conditionalFormatting sqref="I22:I24">
    <cfRule type="expression" dxfId="132" priority="128">
      <formula>AND(#REF!="協議中")</formula>
    </cfRule>
  </conditionalFormatting>
  <conditionalFormatting sqref="L31:M31">
    <cfRule type="expression" dxfId="131" priority="125">
      <formula>AND(#REF!="調整中")</formula>
    </cfRule>
  </conditionalFormatting>
  <conditionalFormatting sqref="L31:M31">
    <cfRule type="expression" dxfId="130" priority="126">
      <formula>AND(#REF!="協議中")</formula>
    </cfRule>
  </conditionalFormatting>
  <conditionalFormatting sqref="K36:M36">
    <cfRule type="expression" dxfId="129" priority="124">
      <formula>AND(#REF!="調整中")</formula>
    </cfRule>
  </conditionalFormatting>
  <conditionalFormatting sqref="K36:M36">
    <cfRule type="expression" dxfId="128" priority="183">
      <formula>AND(#REF!="協議中")</formula>
    </cfRule>
  </conditionalFormatting>
  <conditionalFormatting sqref="U31">
    <cfRule type="expression" dxfId="127" priority="122">
      <formula>AND(#REF!="調整中")</formula>
    </cfRule>
  </conditionalFormatting>
  <conditionalFormatting sqref="U31">
    <cfRule type="expression" dxfId="126" priority="123">
      <formula>AND(#REF!="協議中")</formula>
    </cfRule>
  </conditionalFormatting>
  <conditionalFormatting sqref="U32:U33">
    <cfRule type="expression" dxfId="125" priority="120">
      <formula>AND(#REF!="調整中")</formula>
    </cfRule>
  </conditionalFormatting>
  <conditionalFormatting sqref="U32:U33">
    <cfRule type="expression" dxfId="124" priority="121">
      <formula>AND(#REF!="協議中")</formula>
    </cfRule>
  </conditionalFormatting>
  <conditionalFormatting sqref="U18">
    <cfRule type="expression" dxfId="123" priority="119">
      <formula>AND(#REF!="協議中")</formula>
    </cfRule>
  </conditionalFormatting>
  <conditionalFormatting sqref="U18">
    <cfRule type="expression" dxfId="122" priority="118">
      <formula>AND(#REF!="調整中")</formula>
    </cfRule>
  </conditionalFormatting>
  <conditionalFormatting sqref="U51">
    <cfRule type="expression" dxfId="121" priority="116">
      <formula>AND(#REF!="調整中")</formula>
    </cfRule>
  </conditionalFormatting>
  <conditionalFormatting sqref="U51">
    <cfRule type="expression" dxfId="120" priority="117">
      <formula>AND(#REF!="協議中")</formula>
    </cfRule>
  </conditionalFormatting>
  <conditionalFormatting sqref="U41:U43">
    <cfRule type="expression" dxfId="119" priority="114">
      <formula>AND(#REF!="調整中")</formula>
    </cfRule>
  </conditionalFormatting>
  <conditionalFormatting sqref="U41:U43">
    <cfRule type="expression" dxfId="118" priority="115">
      <formula>AND(#REF!="協議中")</formula>
    </cfRule>
  </conditionalFormatting>
  <conditionalFormatting sqref="U27:U29">
    <cfRule type="expression" dxfId="117" priority="112">
      <formula>AND(#REF!="調整中")</formula>
    </cfRule>
  </conditionalFormatting>
  <conditionalFormatting sqref="U27:U29">
    <cfRule type="expression" dxfId="116" priority="113">
      <formula>AND(#REF!="協議中")</formula>
    </cfRule>
  </conditionalFormatting>
  <conditionalFormatting sqref="L25:O26">
    <cfRule type="expression" dxfId="115" priority="110">
      <formula>AND(#REF!="調整中")</formula>
    </cfRule>
  </conditionalFormatting>
  <conditionalFormatting sqref="L25:O26">
    <cfRule type="expression" dxfId="114" priority="111">
      <formula>AND(#REF!="協議中")</formula>
    </cfRule>
  </conditionalFormatting>
  <conditionalFormatting sqref="T39:T40">
    <cfRule type="expression" dxfId="113" priority="108">
      <formula>AND(#REF!="調整中")</formula>
    </cfRule>
  </conditionalFormatting>
  <conditionalFormatting sqref="T39:T40">
    <cfRule type="expression" dxfId="112" priority="109">
      <formula>AND(#REF!="協議中")</formula>
    </cfRule>
  </conditionalFormatting>
  <conditionalFormatting sqref="U39">
    <cfRule type="expression" dxfId="111" priority="107">
      <formula>AND(#REF!="協議中")</formula>
    </cfRule>
  </conditionalFormatting>
  <conditionalFormatting sqref="U39">
    <cfRule type="expression" dxfId="110" priority="106">
      <formula>AND(#REF!="調整中")</formula>
    </cfRule>
  </conditionalFormatting>
  <conditionalFormatting sqref="S39:S40">
    <cfRule type="expression" dxfId="109" priority="104">
      <formula>AND(#REF!="調整中")</formula>
    </cfRule>
  </conditionalFormatting>
  <conditionalFormatting sqref="S39:S40">
    <cfRule type="expression" dxfId="108" priority="105">
      <formula>AND(#REF!="協議中")</formula>
    </cfRule>
  </conditionalFormatting>
  <conditionalFormatting sqref="I39:R40">
    <cfRule type="expression" dxfId="107" priority="102">
      <formula>AND(#REF!="調整中")</formula>
    </cfRule>
  </conditionalFormatting>
  <conditionalFormatting sqref="I39:R40">
    <cfRule type="expression" dxfId="106" priority="103">
      <formula>AND(#REF!="協議中")</formula>
    </cfRule>
  </conditionalFormatting>
  <conditionalFormatting sqref="T27">
    <cfRule type="expression" dxfId="105" priority="100">
      <formula>AND(#REF!="調整中")</formula>
    </cfRule>
  </conditionalFormatting>
  <conditionalFormatting sqref="T27">
    <cfRule type="expression" dxfId="104" priority="101">
      <formula>AND(#REF!="協議中")</formula>
    </cfRule>
  </conditionalFormatting>
  <conditionalFormatting sqref="P32">
    <cfRule type="expression" dxfId="103" priority="98">
      <formula>AND(#REF!="調整中")</formula>
    </cfRule>
  </conditionalFormatting>
  <conditionalFormatting sqref="P32">
    <cfRule type="expression" dxfId="102" priority="99">
      <formula>AND(#REF!="協議中")</formula>
    </cfRule>
  </conditionalFormatting>
  <conditionalFormatting sqref="T35">
    <cfRule type="expression" dxfId="101" priority="96">
      <formula>AND(#REF!="調整中")</formula>
    </cfRule>
  </conditionalFormatting>
  <conditionalFormatting sqref="T35">
    <cfRule type="expression" dxfId="100" priority="97">
      <formula>AND(#REF!="協議中")</formula>
    </cfRule>
  </conditionalFormatting>
  <conditionalFormatting sqref="N36">
    <cfRule type="expression" dxfId="99" priority="94">
      <formula>AND(#REF!="調整中")</formula>
    </cfRule>
  </conditionalFormatting>
  <conditionalFormatting sqref="N36">
    <cfRule type="expression" dxfId="98" priority="95">
      <formula>AND(#REF!="協議中")</formula>
    </cfRule>
  </conditionalFormatting>
  <conditionalFormatting sqref="N31">
    <cfRule type="expression" dxfId="97" priority="92">
      <formula>AND(#REF!="調整中")</formula>
    </cfRule>
  </conditionalFormatting>
  <conditionalFormatting sqref="N31">
    <cfRule type="expression" dxfId="96" priority="93">
      <formula>AND(#REF!="協議中")</formula>
    </cfRule>
  </conditionalFormatting>
  <conditionalFormatting sqref="K31">
    <cfRule type="expression" dxfId="95" priority="90">
      <formula>AND(#REF!="調整中")</formula>
    </cfRule>
  </conditionalFormatting>
  <conditionalFormatting sqref="K31">
    <cfRule type="expression" dxfId="94" priority="91">
      <formula>AND(#REF!="協議中")</formula>
    </cfRule>
  </conditionalFormatting>
  <conditionalFormatting sqref="U30">
    <cfRule type="expression" dxfId="93" priority="88">
      <formula>AND(#REF!="調整中")</formula>
    </cfRule>
  </conditionalFormatting>
  <conditionalFormatting sqref="U30">
    <cfRule type="expression" dxfId="92" priority="89">
      <formula>AND(#REF!="協議中")</formula>
    </cfRule>
  </conditionalFormatting>
  <conditionalFormatting sqref="U52">
    <cfRule type="expression" dxfId="91" priority="86">
      <formula>AND(#REF!="調整中")</formula>
    </cfRule>
  </conditionalFormatting>
  <conditionalFormatting sqref="U52">
    <cfRule type="expression" dxfId="90" priority="87">
      <formula>AND(#REF!="協議中")</formula>
    </cfRule>
  </conditionalFormatting>
  <conditionalFormatting sqref="U7">
    <cfRule type="expression" dxfId="89" priority="84">
      <formula>AND(#REF!="調整中")</formula>
    </cfRule>
  </conditionalFormatting>
  <conditionalFormatting sqref="U7">
    <cfRule type="expression" dxfId="88" priority="85">
      <formula>AND(#REF!="協議中")</formula>
    </cfRule>
  </conditionalFormatting>
  <conditionalFormatting sqref="U8">
    <cfRule type="expression" dxfId="87" priority="82">
      <formula>AND(#REF!="調整中")</formula>
    </cfRule>
  </conditionalFormatting>
  <conditionalFormatting sqref="U8">
    <cfRule type="expression" dxfId="86" priority="83">
      <formula>AND(#REF!="協議中")</formula>
    </cfRule>
  </conditionalFormatting>
  <conditionalFormatting sqref="I49:M50">
    <cfRule type="expression" dxfId="85" priority="81">
      <formula>AND(#REF!="調整中")</formula>
    </cfRule>
  </conditionalFormatting>
  <conditionalFormatting sqref="I49:M50">
    <cfRule type="expression" dxfId="84" priority="184">
      <formula>AND(#REF!="協議中")</formula>
    </cfRule>
  </conditionalFormatting>
  <conditionalFormatting sqref="T25:T26">
    <cfRule type="expression" dxfId="83" priority="79">
      <formula>AND(#REF!="調整中")</formula>
    </cfRule>
  </conditionalFormatting>
  <conditionalFormatting sqref="T25:T26">
    <cfRule type="expression" dxfId="82" priority="80">
      <formula>AND(#REF!="協議中")</formula>
    </cfRule>
  </conditionalFormatting>
  <conditionalFormatting sqref="U25:U26">
    <cfRule type="expression" dxfId="81" priority="77">
      <formula>AND(#REF!="調整中")</formula>
    </cfRule>
  </conditionalFormatting>
  <conditionalFormatting sqref="U25:U26">
    <cfRule type="expression" dxfId="80" priority="78">
      <formula>AND(#REF!="協議中")</formula>
    </cfRule>
  </conditionalFormatting>
  <conditionalFormatting sqref="S25:S26">
    <cfRule type="expression" dxfId="79" priority="75">
      <formula>AND(#REF!="調整中")</formula>
    </cfRule>
  </conditionalFormatting>
  <conditionalFormatting sqref="S25:S26">
    <cfRule type="expression" dxfId="78" priority="76">
      <formula>AND(#REF!="協議中")</formula>
    </cfRule>
  </conditionalFormatting>
  <conditionalFormatting sqref="P25:S26">
    <cfRule type="expression" dxfId="77" priority="73">
      <formula>AND(#REF!="調整中")</formula>
    </cfRule>
  </conditionalFormatting>
  <conditionalFormatting sqref="P25:S26">
    <cfRule type="expression" dxfId="76" priority="74">
      <formula>AND(#REF!="協議中")</formula>
    </cfRule>
  </conditionalFormatting>
  <conditionalFormatting sqref="T24">
    <cfRule type="expression" dxfId="75" priority="71">
      <formula>AND(#REF!="調整中")</formula>
    </cfRule>
  </conditionalFormatting>
  <conditionalFormatting sqref="T24">
    <cfRule type="expression" dxfId="74" priority="72">
      <formula>AND(#REF!="協議中")</formula>
    </cfRule>
  </conditionalFormatting>
  <conditionalFormatting sqref="S22:S24">
    <cfRule type="expression" dxfId="73" priority="69">
      <formula>AND(#REF!="調整中")</formula>
    </cfRule>
  </conditionalFormatting>
  <conditionalFormatting sqref="S22:S24">
    <cfRule type="expression" dxfId="72" priority="70">
      <formula>AND(#REF!="協議中")</formula>
    </cfRule>
  </conditionalFormatting>
  <conditionalFormatting sqref="T23">
    <cfRule type="expression" dxfId="71" priority="67">
      <formula>AND(#REF!="調整中")</formula>
    </cfRule>
  </conditionalFormatting>
  <conditionalFormatting sqref="T23">
    <cfRule type="expression" dxfId="70" priority="68">
      <formula>AND(#REF!="協議中")</formula>
    </cfRule>
  </conditionalFormatting>
  <conditionalFormatting sqref="T22">
    <cfRule type="expression" dxfId="69" priority="65">
      <formula>AND(#REF!="調整中")</formula>
    </cfRule>
  </conditionalFormatting>
  <conditionalFormatting sqref="T22">
    <cfRule type="expression" dxfId="68" priority="66">
      <formula>AND(#REF!="協議中")</formula>
    </cfRule>
  </conditionalFormatting>
  <conditionalFormatting sqref="U19">
    <cfRule type="expression" dxfId="67" priority="63">
      <formula>AND(#REF!="調整中")</formula>
    </cfRule>
  </conditionalFormatting>
  <conditionalFormatting sqref="U19">
    <cfRule type="expression" dxfId="66" priority="64">
      <formula>AND(#REF!="協議中")</formula>
    </cfRule>
  </conditionalFormatting>
  <conditionalFormatting sqref="J37:J38">
    <cfRule type="expression" dxfId="65" priority="61">
      <formula>AND(#REF!="調整中")</formula>
    </cfRule>
  </conditionalFormatting>
  <conditionalFormatting sqref="J37:J38">
    <cfRule type="expression" dxfId="64" priority="62">
      <formula>AND(#REF!="協議中")</formula>
    </cfRule>
  </conditionalFormatting>
  <conditionalFormatting sqref="T37:T38">
    <cfRule type="expression" dxfId="63" priority="59">
      <formula>AND(#REF!="調整中")</formula>
    </cfRule>
  </conditionalFormatting>
  <conditionalFormatting sqref="T37:T38">
    <cfRule type="expression" dxfId="62" priority="60">
      <formula>AND(#REF!="協議中")</formula>
    </cfRule>
  </conditionalFormatting>
  <conditionalFormatting sqref="Q37:S37">
    <cfRule type="expression" dxfId="61" priority="57">
      <formula>AND(#REF!="調整中")</formula>
    </cfRule>
  </conditionalFormatting>
  <conditionalFormatting sqref="Q37:S37">
    <cfRule type="expression" dxfId="60" priority="58">
      <formula>AND(#REF!="協議中")</formula>
    </cfRule>
  </conditionalFormatting>
  <conditionalFormatting sqref="K37:K38">
    <cfRule type="expression" dxfId="59" priority="55">
      <formula>AND(#REF!="調整中")</formula>
    </cfRule>
  </conditionalFormatting>
  <conditionalFormatting sqref="K37:K38">
    <cfRule type="expression" dxfId="58" priority="56">
      <formula>AND(#REF!="協議中")</formula>
    </cfRule>
  </conditionalFormatting>
  <conditionalFormatting sqref="L37:O38">
    <cfRule type="expression" dxfId="57" priority="53">
      <formula>AND(#REF!="調整中")</formula>
    </cfRule>
  </conditionalFormatting>
  <conditionalFormatting sqref="L37:O38">
    <cfRule type="expression" dxfId="56" priority="54">
      <formula>AND(#REF!="協議中")</formula>
    </cfRule>
  </conditionalFormatting>
  <conditionalFormatting sqref="P37:P38">
    <cfRule type="expression" dxfId="55" priority="51">
      <formula>AND(#REF!="調整中")</formula>
    </cfRule>
  </conditionalFormatting>
  <conditionalFormatting sqref="P37:P38">
    <cfRule type="expression" dxfId="54" priority="52">
      <formula>AND(#REF!="協議中")</formula>
    </cfRule>
  </conditionalFormatting>
  <conditionalFormatting sqref="Q38">
    <cfRule type="expression" dxfId="53" priority="49">
      <formula>AND(#REF!="調整中")</formula>
    </cfRule>
  </conditionalFormatting>
  <conditionalFormatting sqref="Q38">
    <cfRule type="expression" dxfId="52" priority="50">
      <formula>AND(#REF!="協議中")</formula>
    </cfRule>
  </conditionalFormatting>
  <conditionalFormatting sqref="R38">
    <cfRule type="expression" dxfId="51" priority="47">
      <formula>AND(#REF!="調整中")</formula>
    </cfRule>
  </conditionalFormatting>
  <conditionalFormatting sqref="R38">
    <cfRule type="expression" dxfId="50" priority="48">
      <formula>AND(#REF!="協議中")</formula>
    </cfRule>
  </conditionalFormatting>
  <conditionalFormatting sqref="S38">
    <cfRule type="expression" dxfId="49" priority="45">
      <formula>AND(#REF!="調整中")</formula>
    </cfRule>
  </conditionalFormatting>
  <conditionalFormatting sqref="S38">
    <cfRule type="expression" dxfId="48" priority="46">
      <formula>AND(#REF!="協議中")</formula>
    </cfRule>
  </conditionalFormatting>
  <conditionalFormatting sqref="U34">
    <cfRule type="expression" dxfId="47" priority="43">
      <formula>AND(#REF!="調整中")</formula>
    </cfRule>
  </conditionalFormatting>
  <conditionalFormatting sqref="U34">
    <cfRule type="expression" dxfId="46" priority="44">
      <formula>AND(#REF!="協議中")</formula>
    </cfRule>
  </conditionalFormatting>
  <conditionalFormatting sqref="U37">
    <cfRule type="expression" dxfId="45" priority="41">
      <formula>AND(#REF!="調整中")</formula>
    </cfRule>
  </conditionalFormatting>
  <conditionalFormatting sqref="U37">
    <cfRule type="expression" dxfId="44" priority="42">
      <formula>AND(#REF!="協議中")</formula>
    </cfRule>
  </conditionalFormatting>
  <conditionalFormatting sqref="I16:I17 I14:T15">
    <cfRule type="expression" dxfId="43" priority="39">
      <formula>AND(#REF!="調整中")</formula>
    </cfRule>
  </conditionalFormatting>
  <conditionalFormatting sqref="I16:I17 I14:T15">
    <cfRule type="expression" dxfId="42" priority="40">
      <formula>AND(#REF!="協議中")</formula>
    </cfRule>
  </conditionalFormatting>
  <conditionalFormatting sqref="I11:O11">
    <cfRule type="expression" dxfId="41" priority="38">
      <formula>AND(#REF!="協議中")</formula>
    </cfRule>
  </conditionalFormatting>
  <conditionalFormatting sqref="I11:O11">
    <cfRule type="expression" dxfId="40" priority="37">
      <formula>AND(#REF!="調整中")</formula>
    </cfRule>
  </conditionalFormatting>
  <conditionalFormatting sqref="S9:T10">
    <cfRule type="expression" dxfId="39" priority="35">
      <formula>AND(#REF!="調整中")</formula>
    </cfRule>
  </conditionalFormatting>
  <conditionalFormatting sqref="S9:T10">
    <cfRule type="expression" dxfId="38" priority="36">
      <formula>AND(#REF!="協議中")</formula>
    </cfRule>
  </conditionalFormatting>
  <conditionalFormatting sqref="O12:T13">
    <cfRule type="expression" dxfId="37" priority="33">
      <formula>AND(#REF!="調整中")</formula>
    </cfRule>
  </conditionalFormatting>
  <conditionalFormatting sqref="O12:T13">
    <cfRule type="expression" dxfId="36" priority="34">
      <formula>AND(#REF!="協議中")</formula>
    </cfRule>
  </conditionalFormatting>
  <conditionalFormatting sqref="N12:N13">
    <cfRule type="expression" dxfId="35" priority="31">
      <formula>AND(#REF!="調整中")</formula>
    </cfRule>
  </conditionalFormatting>
  <conditionalFormatting sqref="N12:N13">
    <cfRule type="expression" dxfId="34" priority="32">
      <formula>AND(#REF!="協議中")</formula>
    </cfRule>
  </conditionalFormatting>
  <conditionalFormatting sqref="I12:M13">
    <cfRule type="expression" dxfId="33" priority="29">
      <formula>AND(#REF!="調整中")</formula>
    </cfRule>
  </conditionalFormatting>
  <conditionalFormatting sqref="I12:I13 M12:M13">
    <cfRule type="expression" dxfId="32" priority="30">
      <formula>AND(#REF!="協議中")</formula>
    </cfRule>
  </conditionalFormatting>
  <conditionalFormatting sqref="U14:U15">
    <cfRule type="expression" dxfId="31" priority="27">
      <formula>AND(#REF!="調整中")</formula>
    </cfRule>
  </conditionalFormatting>
  <conditionalFormatting sqref="U14:U15">
    <cfRule type="expression" dxfId="30" priority="28">
      <formula>AND(#REF!="協議中")</formula>
    </cfRule>
  </conditionalFormatting>
  <conditionalFormatting sqref="U9:U10">
    <cfRule type="expression" dxfId="29" priority="25">
      <formula>AND(#REF!="調整中")</formula>
    </cfRule>
  </conditionalFormatting>
  <conditionalFormatting sqref="U9:U10">
    <cfRule type="expression" dxfId="28" priority="26">
      <formula>AND(#REF!="協議中")</formula>
    </cfRule>
  </conditionalFormatting>
  <conditionalFormatting sqref="U12:U13">
    <cfRule type="expression" dxfId="27" priority="23">
      <formula>AND(#REF!="調整中")</formula>
    </cfRule>
  </conditionalFormatting>
  <conditionalFormatting sqref="U12:U13">
    <cfRule type="expression" dxfId="26" priority="24">
      <formula>AND(#REF!="協議中")</formula>
    </cfRule>
  </conditionalFormatting>
  <conditionalFormatting sqref="U11">
    <cfRule type="expression" dxfId="25" priority="21">
      <formula>AND(#REF!="調整中")</formula>
    </cfRule>
  </conditionalFormatting>
  <conditionalFormatting sqref="U11">
    <cfRule type="expression" dxfId="24" priority="22">
      <formula>AND(#REF!="協議中")</formula>
    </cfRule>
  </conditionalFormatting>
  <conditionalFormatting sqref="P11:T11">
    <cfRule type="expression" dxfId="23" priority="19">
      <formula>AND(#REF!="調整中")</formula>
    </cfRule>
  </conditionalFormatting>
  <conditionalFormatting sqref="P11:T11">
    <cfRule type="expression" dxfId="22" priority="20">
      <formula>AND(#REF!="協議中")</formula>
    </cfRule>
  </conditionalFormatting>
  <conditionalFormatting sqref="O16:T17">
    <cfRule type="expression" dxfId="21" priority="17">
      <formula>AND(#REF!="調整中")</formula>
    </cfRule>
  </conditionalFormatting>
  <conditionalFormatting sqref="O16:T17">
    <cfRule type="expression" dxfId="20" priority="18">
      <formula>AND(#REF!="協議中")</formula>
    </cfRule>
  </conditionalFormatting>
  <conditionalFormatting sqref="U16:U17">
    <cfRule type="expression" dxfId="19" priority="15">
      <formula>AND(#REF!="調整中")</formula>
    </cfRule>
  </conditionalFormatting>
  <conditionalFormatting sqref="U16:U17">
    <cfRule type="expression" dxfId="18" priority="16">
      <formula>AND(#REF!="協議中")</formula>
    </cfRule>
  </conditionalFormatting>
  <conditionalFormatting sqref="I9:R10">
    <cfRule type="expression" dxfId="17" priority="13">
      <formula>AND(#REF!="調整中")</formula>
    </cfRule>
  </conditionalFormatting>
  <conditionalFormatting sqref="I9:R10">
    <cfRule type="expression" dxfId="16" priority="14">
      <formula>AND(#REF!="協議中")</formula>
    </cfRule>
  </conditionalFormatting>
  <conditionalFormatting sqref="J16:N17">
    <cfRule type="expression" dxfId="15" priority="11">
      <formula>AND(#REF!="調整中")</formula>
    </cfRule>
  </conditionalFormatting>
  <conditionalFormatting sqref="J16:N17">
    <cfRule type="expression" dxfId="14" priority="12">
      <formula>AND(#REF!="協議中")</formula>
    </cfRule>
  </conditionalFormatting>
  <conditionalFormatting sqref="J18 L18:N18">
    <cfRule type="expression" dxfId="13" priority="9">
      <formula>AND(#REF!="調整中")</formula>
    </cfRule>
  </conditionalFormatting>
  <conditionalFormatting sqref="J18 L18:N18">
    <cfRule type="expression" dxfId="12" priority="10">
      <formula>AND(#REF!="協議中")</formula>
    </cfRule>
  </conditionalFormatting>
  <conditionalFormatting sqref="K18">
    <cfRule type="expression" dxfId="11" priority="7">
      <formula>AND(#REF!="調整中")</formula>
    </cfRule>
  </conditionalFormatting>
  <conditionalFormatting sqref="K18">
    <cfRule type="expression" dxfId="10" priority="8">
      <formula>AND(#REF!="協議中")</formula>
    </cfRule>
  </conditionalFormatting>
  <conditionalFormatting sqref="U5">
    <cfRule type="expression" dxfId="9" priority="5">
      <formula>AND(#REF!="調整中")</formula>
    </cfRule>
  </conditionalFormatting>
  <conditionalFormatting sqref="U5">
    <cfRule type="expression" dxfId="8" priority="6">
      <formula>AND(#REF!="協議中")</formula>
    </cfRule>
  </conditionalFormatting>
  <conditionalFormatting sqref="K5:S5">
    <cfRule type="expression" dxfId="7" priority="3">
      <formula>AND(#REF!="調整中")</formula>
    </cfRule>
  </conditionalFormatting>
  <conditionalFormatting sqref="K5:S5">
    <cfRule type="expression" dxfId="6" priority="4">
      <formula>AND(#REF!="協議中")</formula>
    </cfRule>
  </conditionalFormatting>
  <conditionalFormatting sqref="T5">
    <cfRule type="expression" dxfId="5" priority="1">
      <formula>AND(#REF!="調整中")</formula>
    </cfRule>
  </conditionalFormatting>
  <conditionalFormatting sqref="T5">
    <cfRule type="expression" dxfId="4" priority="2">
      <formula>AND(#REF!="協議中")</formula>
    </cfRule>
  </conditionalFormatting>
  <printOptions horizontalCentered="1" verticalCentered="1"/>
  <pageMargins left="0.2" right="0.2" top="0.27559055118110237" bottom="0.31496062992125984" header="0.31496062992125984" footer="0.31496062992125984"/>
  <pageSetup paperSize="8" scale="20" orientation="portrait" r:id="rId1"/>
  <headerFooter>
    <oddFooter>&amp;R&amp;36&amp;P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E42"/>
  <sheetViews>
    <sheetView workbookViewId="0">
      <selection activeCell="J8" sqref="J8"/>
    </sheetView>
  </sheetViews>
  <sheetFormatPr defaultRowHeight="18" x14ac:dyDescent="0.45"/>
  <cols>
    <col min="1" max="1" width="6.8984375" customWidth="1"/>
    <col min="2" max="2" width="16.5" customWidth="1"/>
    <col min="3" max="3" width="40.5" bestFit="1" customWidth="1"/>
    <col min="4" max="4" width="30.296875" bestFit="1" customWidth="1"/>
    <col min="5" max="5" width="12.3984375" bestFit="1" customWidth="1"/>
  </cols>
  <sheetData>
    <row r="3" spans="1:5" x14ac:dyDescent="0.45">
      <c r="A3" t="s">
        <v>306</v>
      </c>
      <c r="B3" t="s">
        <v>307</v>
      </c>
      <c r="C3" t="s">
        <v>308</v>
      </c>
      <c r="D3" t="s">
        <v>309</v>
      </c>
      <c r="E3" t="s">
        <v>310</v>
      </c>
    </row>
    <row r="4" spans="1:5" x14ac:dyDescent="0.45">
      <c r="A4">
        <v>2</v>
      </c>
      <c r="B4" t="s">
        <v>29</v>
      </c>
      <c r="C4" t="s">
        <v>41</v>
      </c>
      <c r="D4" t="s">
        <v>311</v>
      </c>
      <c r="E4" t="s">
        <v>312</v>
      </c>
    </row>
    <row r="5" spans="1:5" x14ac:dyDescent="0.45">
      <c r="A5">
        <v>3</v>
      </c>
      <c r="B5" t="s">
        <v>29</v>
      </c>
      <c r="C5" t="s">
        <v>41</v>
      </c>
      <c r="D5" t="s">
        <v>311</v>
      </c>
      <c r="E5" t="s">
        <v>313</v>
      </c>
    </row>
    <row r="6" spans="1:5" x14ac:dyDescent="0.45">
      <c r="A6">
        <v>5</v>
      </c>
      <c r="B6" t="s">
        <v>50</v>
      </c>
      <c r="C6" t="s">
        <v>51</v>
      </c>
      <c r="D6" t="s">
        <v>53</v>
      </c>
      <c r="E6" t="s">
        <v>314</v>
      </c>
    </row>
    <row r="7" spans="1:5" x14ac:dyDescent="0.45">
      <c r="A7">
        <v>6</v>
      </c>
      <c r="B7" t="s">
        <v>50</v>
      </c>
      <c r="C7" t="s">
        <v>51</v>
      </c>
      <c r="D7" t="s">
        <v>53</v>
      </c>
      <c r="E7" t="s">
        <v>315</v>
      </c>
    </row>
    <row r="8" spans="1:5" x14ac:dyDescent="0.45">
      <c r="A8">
        <v>8</v>
      </c>
      <c r="B8" t="s">
        <v>71</v>
      </c>
      <c r="C8" t="s">
        <v>72</v>
      </c>
      <c r="D8" t="s">
        <v>316</v>
      </c>
      <c r="E8" t="s">
        <v>317</v>
      </c>
    </row>
    <row r="9" spans="1:5" x14ac:dyDescent="0.45">
      <c r="A9">
        <v>9</v>
      </c>
      <c r="B9" t="s">
        <v>71</v>
      </c>
      <c r="C9" t="s">
        <v>72</v>
      </c>
      <c r="D9" t="s">
        <v>316</v>
      </c>
      <c r="E9" t="s">
        <v>257</v>
      </c>
    </row>
    <row r="10" spans="1:5" x14ac:dyDescent="0.45">
      <c r="A10">
        <v>10</v>
      </c>
      <c r="B10" t="s">
        <v>88</v>
      </c>
      <c r="C10" t="s">
        <v>89</v>
      </c>
      <c r="D10" t="s">
        <v>318</v>
      </c>
      <c r="E10" t="s">
        <v>93</v>
      </c>
    </row>
    <row r="11" spans="1:5" x14ac:dyDescent="0.45">
      <c r="A11">
        <v>11</v>
      </c>
      <c r="B11" t="s">
        <v>88</v>
      </c>
      <c r="C11" t="s">
        <v>89</v>
      </c>
      <c r="D11" t="s">
        <v>318</v>
      </c>
      <c r="E11" t="s">
        <v>319</v>
      </c>
    </row>
    <row r="12" spans="1:5" x14ac:dyDescent="0.45">
      <c r="A12">
        <v>12</v>
      </c>
      <c r="B12" t="s">
        <v>98</v>
      </c>
      <c r="C12" t="s">
        <v>99</v>
      </c>
      <c r="D12" t="s">
        <v>320</v>
      </c>
      <c r="E12" t="s">
        <v>321</v>
      </c>
    </row>
    <row r="13" spans="1:5" x14ac:dyDescent="0.45">
      <c r="A13">
        <v>13</v>
      </c>
      <c r="B13" t="s">
        <v>98</v>
      </c>
      <c r="C13" t="s">
        <v>99</v>
      </c>
      <c r="D13" t="s">
        <v>320</v>
      </c>
      <c r="E13" t="s">
        <v>322</v>
      </c>
    </row>
    <row r="14" spans="1:5" x14ac:dyDescent="0.45">
      <c r="A14">
        <v>14</v>
      </c>
      <c r="B14" t="s">
        <v>110</v>
      </c>
      <c r="C14" t="s">
        <v>111</v>
      </c>
      <c r="D14" t="s">
        <v>323</v>
      </c>
      <c r="E14" t="s">
        <v>324</v>
      </c>
    </row>
    <row r="15" spans="1:5" x14ac:dyDescent="0.45">
      <c r="A15">
        <v>15</v>
      </c>
      <c r="B15" t="s">
        <v>121</v>
      </c>
      <c r="C15" t="s">
        <v>122</v>
      </c>
      <c r="D15" t="s">
        <v>325</v>
      </c>
      <c r="E15" t="s">
        <v>326</v>
      </c>
    </row>
    <row r="16" spans="1:5" x14ac:dyDescent="0.45">
      <c r="A16">
        <v>16</v>
      </c>
      <c r="B16" t="s">
        <v>121</v>
      </c>
      <c r="C16" t="s">
        <v>122</v>
      </c>
      <c r="D16" t="s">
        <v>325</v>
      </c>
      <c r="E16" t="s">
        <v>327</v>
      </c>
    </row>
    <row r="17" spans="1:5" x14ac:dyDescent="0.45">
      <c r="A17">
        <v>17</v>
      </c>
      <c r="B17" t="s">
        <v>121</v>
      </c>
      <c r="C17" t="s">
        <v>122</v>
      </c>
      <c r="D17" t="s">
        <v>325</v>
      </c>
      <c r="E17" t="s">
        <v>328</v>
      </c>
    </row>
    <row r="18" spans="1:5" x14ac:dyDescent="0.45">
      <c r="A18">
        <v>18</v>
      </c>
      <c r="B18" t="s">
        <v>131</v>
      </c>
      <c r="C18" t="s">
        <v>132</v>
      </c>
      <c r="D18" t="s">
        <v>325</v>
      </c>
      <c r="E18" t="s">
        <v>326</v>
      </c>
    </row>
    <row r="19" spans="1:5" x14ac:dyDescent="0.45">
      <c r="A19">
        <v>19</v>
      </c>
      <c r="B19" t="s">
        <v>131</v>
      </c>
      <c r="C19" t="s">
        <v>132</v>
      </c>
      <c r="D19" t="s">
        <v>325</v>
      </c>
      <c r="E19" t="s">
        <v>327</v>
      </c>
    </row>
    <row r="20" spans="1:5" x14ac:dyDescent="0.45">
      <c r="A20">
        <v>20</v>
      </c>
      <c r="B20" t="s">
        <v>131</v>
      </c>
      <c r="C20" t="s">
        <v>132</v>
      </c>
      <c r="D20" t="s">
        <v>325</v>
      </c>
      <c r="E20" t="s">
        <v>328</v>
      </c>
    </row>
    <row r="21" spans="1:5" x14ac:dyDescent="0.45">
      <c r="A21">
        <v>21</v>
      </c>
      <c r="B21" t="s">
        <v>143</v>
      </c>
      <c r="C21" t="s">
        <v>144</v>
      </c>
      <c r="D21" t="s">
        <v>329</v>
      </c>
      <c r="E21" t="s">
        <v>330</v>
      </c>
    </row>
    <row r="22" spans="1:5" x14ac:dyDescent="0.45">
      <c r="A22">
        <v>22</v>
      </c>
      <c r="B22" t="s">
        <v>143</v>
      </c>
      <c r="C22" t="s">
        <v>144</v>
      </c>
      <c r="D22" t="s">
        <v>329</v>
      </c>
      <c r="E22" t="s">
        <v>331</v>
      </c>
    </row>
    <row r="23" spans="1:5" x14ac:dyDescent="0.45">
      <c r="A23">
        <v>23</v>
      </c>
      <c r="B23" t="s">
        <v>159</v>
      </c>
      <c r="C23" t="s">
        <v>160</v>
      </c>
      <c r="D23" t="s">
        <v>332</v>
      </c>
      <c r="E23" t="s">
        <v>165</v>
      </c>
    </row>
    <row r="24" spans="1:5" x14ac:dyDescent="0.45">
      <c r="A24">
        <v>24</v>
      </c>
      <c r="B24" t="s">
        <v>159</v>
      </c>
      <c r="C24" t="s">
        <v>160</v>
      </c>
      <c r="D24" t="s">
        <v>332</v>
      </c>
      <c r="E24" t="s">
        <v>165</v>
      </c>
    </row>
    <row r="25" spans="1:5" x14ac:dyDescent="0.45">
      <c r="A25">
        <v>25</v>
      </c>
      <c r="B25" t="s">
        <v>159</v>
      </c>
      <c r="C25" t="s">
        <v>160</v>
      </c>
      <c r="D25" t="s">
        <v>332</v>
      </c>
      <c r="E25" t="s">
        <v>165</v>
      </c>
    </row>
    <row r="26" spans="1:5" x14ac:dyDescent="0.45">
      <c r="A26">
        <v>26</v>
      </c>
      <c r="B26" t="s">
        <v>159</v>
      </c>
      <c r="C26" t="s">
        <v>160</v>
      </c>
      <c r="D26" t="s">
        <v>332</v>
      </c>
      <c r="E26" t="s">
        <v>165</v>
      </c>
    </row>
    <row r="27" spans="1:5" x14ac:dyDescent="0.45">
      <c r="A27">
        <v>27</v>
      </c>
      <c r="B27" t="s">
        <v>170</v>
      </c>
      <c r="C27" t="s">
        <v>171</v>
      </c>
      <c r="D27" t="s">
        <v>333</v>
      </c>
      <c r="E27" t="s">
        <v>334</v>
      </c>
    </row>
    <row r="28" spans="1:5" x14ac:dyDescent="0.45">
      <c r="A28">
        <v>32</v>
      </c>
      <c r="B28" t="s">
        <v>188</v>
      </c>
      <c r="C28" t="s">
        <v>189</v>
      </c>
      <c r="D28" t="s">
        <v>335</v>
      </c>
      <c r="E28" t="s">
        <v>336</v>
      </c>
    </row>
    <row r="29" spans="1:5" x14ac:dyDescent="0.45">
      <c r="A29">
        <v>33</v>
      </c>
      <c r="B29" t="s">
        <v>200</v>
      </c>
      <c r="C29" t="s">
        <v>201</v>
      </c>
      <c r="D29" t="s">
        <v>337</v>
      </c>
      <c r="E29" t="s">
        <v>338</v>
      </c>
    </row>
    <row r="30" spans="1:5" x14ac:dyDescent="0.45">
      <c r="A30">
        <v>34</v>
      </c>
      <c r="B30" t="s">
        <v>200</v>
      </c>
      <c r="C30" t="s">
        <v>201</v>
      </c>
      <c r="D30" t="s">
        <v>337</v>
      </c>
      <c r="E30" t="s">
        <v>258</v>
      </c>
    </row>
    <row r="31" spans="1:5" x14ac:dyDescent="0.45">
      <c r="A31">
        <v>35</v>
      </c>
      <c r="B31" t="s">
        <v>218</v>
      </c>
      <c r="C31" t="s">
        <v>219</v>
      </c>
      <c r="D31" t="s">
        <v>339</v>
      </c>
      <c r="E31" t="s">
        <v>340</v>
      </c>
    </row>
    <row r="32" spans="1:5" x14ac:dyDescent="0.45">
      <c r="A32">
        <v>36</v>
      </c>
      <c r="B32" t="s">
        <v>218</v>
      </c>
      <c r="C32" t="s">
        <v>219</v>
      </c>
      <c r="D32" t="s">
        <v>339</v>
      </c>
      <c r="E32" t="s">
        <v>341</v>
      </c>
    </row>
    <row r="33" spans="1:5" x14ac:dyDescent="0.45">
      <c r="A33">
        <v>37</v>
      </c>
      <c r="B33" t="s">
        <v>236</v>
      </c>
      <c r="C33" t="s">
        <v>237</v>
      </c>
      <c r="D33" t="s">
        <v>342</v>
      </c>
      <c r="E33" t="s">
        <v>241</v>
      </c>
    </row>
    <row r="34" spans="1:5" x14ac:dyDescent="0.45">
      <c r="A34">
        <v>38</v>
      </c>
      <c r="B34" t="s">
        <v>236</v>
      </c>
      <c r="C34" t="s">
        <v>237</v>
      </c>
      <c r="D34" t="s">
        <v>342</v>
      </c>
      <c r="E34" t="s">
        <v>244</v>
      </c>
    </row>
    <row r="35" spans="1:5" x14ac:dyDescent="0.45">
      <c r="A35">
        <v>39</v>
      </c>
      <c r="B35" t="s">
        <v>236</v>
      </c>
      <c r="C35" t="s">
        <v>237</v>
      </c>
      <c r="D35" t="s">
        <v>342</v>
      </c>
      <c r="E35" t="s">
        <v>247</v>
      </c>
    </row>
    <row r="36" spans="1:5" x14ac:dyDescent="0.45">
      <c r="A36">
        <v>40</v>
      </c>
      <c r="B36" t="s">
        <v>343</v>
      </c>
      <c r="C36" t="s">
        <v>251</v>
      </c>
      <c r="D36" t="s">
        <v>344</v>
      </c>
      <c r="E36" t="s">
        <v>345</v>
      </c>
    </row>
    <row r="37" spans="1:5" x14ac:dyDescent="0.45">
      <c r="A37">
        <v>41</v>
      </c>
      <c r="B37" t="s">
        <v>343</v>
      </c>
      <c r="C37" t="s">
        <v>251</v>
      </c>
      <c r="D37" t="s">
        <v>344</v>
      </c>
      <c r="E37" t="s">
        <v>255</v>
      </c>
    </row>
    <row r="38" spans="1:5" x14ac:dyDescent="0.45">
      <c r="A38">
        <v>42</v>
      </c>
      <c r="B38" t="s">
        <v>343</v>
      </c>
      <c r="C38" t="s">
        <v>251</v>
      </c>
      <c r="D38" t="s">
        <v>344</v>
      </c>
      <c r="E38" t="s">
        <v>257</v>
      </c>
    </row>
    <row r="39" spans="1:5" x14ac:dyDescent="0.45">
      <c r="A39">
        <v>45</v>
      </c>
      <c r="B39" t="s">
        <v>262</v>
      </c>
      <c r="C39" t="s">
        <v>263</v>
      </c>
      <c r="D39" t="s">
        <v>346</v>
      </c>
      <c r="E39" t="s">
        <v>314</v>
      </c>
    </row>
    <row r="40" spans="1:5" x14ac:dyDescent="0.45">
      <c r="A40">
        <v>46</v>
      </c>
      <c r="B40" t="s">
        <v>262</v>
      </c>
      <c r="C40" t="s">
        <v>263</v>
      </c>
      <c r="D40" t="s">
        <v>346</v>
      </c>
      <c r="E40" t="s">
        <v>347</v>
      </c>
    </row>
    <row r="41" spans="1:5" x14ac:dyDescent="0.45">
      <c r="A41">
        <v>48</v>
      </c>
      <c r="B41" t="s">
        <v>289</v>
      </c>
      <c r="C41" t="s">
        <v>290</v>
      </c>
      <c r="D41" t="s">
        <v>348</v>
      </c>
      <c r="E41" t="s">
        <v>349</v>
      </c>
    </row>
    <row r="42" spans="1:5" x14ac:dyDescent="0.45">
      <c r="A42" t="s">
        <v>350</v>
      </c>
    </row>
  </sheetData>
  <phoneticPr fontId="2"/>
  <pageMargins left="0.7" right="0.7" top="0.75" bottom="0.75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12"/>
  <sheetViews>
    <sheetView tabSelected="1" workbookViewId="0">
      <selection activeCell="F6" sqref="F6"/>
    </sheetView>
  </sheetViews>
  <sheetFormatPr defaultRowHeight="15" x14ac:dyDescent="0.45"/>
  <cols>
    <col min="1" max="1" width="5.5" style="190" customWidth="1"/>
    <col min="2" max="2" width="8.796875" style="190"/>
    <col min="3" max="3" width="20.19921875" style="191" customWidth="1"/>
    <col min="4" max="4" width="25.69921875" style="191" customWidth="1"/>
    <col min="5" max="5" width="14.59765625" style="191" customWidth="1"/>
    <col min="6" max="6" width="11.19921875" style="189" customWidth="1"/>
    <col min="7" max="7" width="8.796875" style="188"/>
    <col min="8" max="8" width="19.8984375" style="188" customWidth="1"/>
    <col min="9" max="9" width="13.69921875" style="188" customWidth="1"/>
    <col min="10" max="16384" width="8.796875" style="188"/>
  </cols>
  <sheetData>
    <row r="1" spans="1:10" ht="41.4" customHeight="1" x14ac:dyDescent="0.45">
      <c r="A1" s="185" t="s">
        <v>306</v>
      </c>
      <c r="B1" s="185" t="s">
        <v>307</v>
      </c>
      <c r="C1" s="185" t="s">
        <v>308</v>
      </c>
      <c r="D1" s="185" t="s">
        <v>309</v>
      </c>
      <c r="E1" s="186" t="s">
        <v>310</v>
      </c>
      <c r="F1" s="187" t="s">
        <v>351</v>
      </c>
      <c r="H1" s="188" t="s">
        <v>352</v>
      </c>
      <c r="I1" s="189" t="str">
        <f>IF(IF(AND(H1&lt;&gt;"",E1&lt;&gt;"MIS",E1&lt;&gt;"IKS"),TEXT(RIGHT($E1,5),"hh:mm")&gt;=TEXT($I$5,"hh:mm"),"")=TRUE,"〇","")</f>
        <v/>
      </c>
    </row>
    <row r="2" spans="1:10" x14ac:dyDescent="0.45">
      <c r="A2" s="190">
        <v>2</v>
      </c>
      <c r="B2" s="190" t="s">
        <v>29</v>
      </c>
      <c r="C2" s="191" t="s">
        <v>41</v>
      </c>
      <c r="D2" s="191" t="s">
        <v>311</v>
      </c>
      <c r="E2" s="191" t="s">
        <v>312</v>
      </c>
      <c r="F2" s="189" t="s">
        <v>353</v>
      </c>
      <c r="H2" s="192" t="s">
        <v>354</v>
      </c>
      <c r="I2" s="193">
        <f>COUNTIF(F:F,"〇")</f>
        <v>38</v>
      </c>
    </row>
    <row r="3" spans="1:10" x14ac:dyDescent="0.45">
      <c r="A3" s="190">
        <v>3</v>
      </c>
      <c r="B3" s="190" t="s">
        <v>29</v>
      </c>
      <c r="C3" s="191" t="s">
        <v>41</v>
      </c>
      <c r="D3" s="191" t="s">
        <v>311</v>
      </c>
      <c r="E3" s="191" t="s">
        <v>313</v>
      </c>
      <c r="F3" s="189" t="s">
        <v>353</v>
      </c>
      <c r="H3" s="192" t="s">
        <v>355</v>
      </c>
      <c r="I3" s="193" t="str">
        <f>TEXT(日付,"mmdd")</f>
        <v>0828</v>
      </c>
    </row>
    <row r="4" spans="1:10" x14ac:dyDescent="0.45">
      <c r="A4" s="190">
        <v>5</v>
      </c>
      <c r="B4" s="190" t="s">
        <v>50</v>
      </c>
      <c r="C4" s="191" t="s">
        <v>51</v>
      </c>
      <c r="D4" s="191" t="s">
        <v>53</v>
      </c>
      <c r="E4" s="191" t="s">
        <v>314</v>
      </c>
      <c r="F4" s="189" t="s">
        <v>353</v>
      </c>
    </row>
    <row r="5" spans="1:10" x14ac:dyDescent="0.45">
      <c r="A5" s="190">
        <v>6</v>
      </c>
      <c r="B5" s="190" t="s">
        <v>50</v>
      </c>
      <c r="C5" s="191" t="s">
        <v>51</v>
      </c>
      <c r="D5" s="191" t="s">
        <v>53</v>
      </c>
      <c r="E5" s="191" t="s">
        <v>315</v>
      </c>
      <c r="F5" s="189" t="s">
        <v>353</v>
      </c>
      <c r="H5" s="194" t="s">
        <v>356</v>
      </c>
      <c r="I5" s="195">
        <v>0.79166666666666663</v>
      </c>
      <c r="J5" s="188" t="s">
        <v>357</v>
      </c>
    </row>
    <row r="6" spans="1:10" x14ac:dyDescent="0.45">
      <c r="A6" s="190">
        <v>8</v>
      </c>
      <c r="B6" s="190" t="s">
        <v>71</v>
      </c>
      <c r="C6" s="191" t="s">
        <v>72</v>
      </c>
      <c r="D6" s="191" t="s">
        <v>316</v>
      </c>
      <c r="E6" s="191" t="s">
        <v>317</v>
      </c>
      <c r="F6" s="189" t="s">
        <v>353</v>
      </c>
    </row>
    <row r="7" spans="1:10" x14ac:dyDescent="0.45">
      <c r="A7" s="190">
        <v>9</v>
      </c>
      <c r="B7" s="190" t="s">
        <v>71</v>
      </c>
      <c r="C7" s="191" t="s">
        <v>72</v>
      </c>
      <c r="D7" s="191" t="s">
        <v>316</v>
      </c>
      <c r="E7" s="191" t="s">
        <v>257</v>
      </c>
      <c r="F7" s="189" t="s">
        <v>353</v>
      </c>
    </row>
    <row r="8" spans="1:10" x14ac:dyDescent="0.45">
      <c r="A8" s="190">
        <v>10</v>
      </c>
      <c r="B8" s="190" t="s">
        <v>88</v>
      </c>
      <c r="C8" s="191" t="s">
        <v>89</v>
      </c>
      <c r="D8" s="191" t="s">
        <v>318</v>
      </c>
      <c r="E8" s="191" t="s">
        <v>93</v>
      </c>
      <c r="F8" s="189" t="s">
        <v>353</v>
      </c>
    </row>
    <row r="9" spans="1:10" x14ac:dyDescent="0.45">
      <c r="A9" s="190">
        <v>11</v>
      </c>
      <c r="B9" s="190" t="s">
        <v>88</v>
      </c>
      <c r="C9" s="191" t="s">
        <v>89</v>
      </c>
      <c r="D9" s="191" t="s">
        <v>318</v>
      </c>
      <c r="E9" s="191" t="s">
        <v>319</v>
      </c>
      <c r="F9" s="189" t="s">
        <v>353</v>
      </c>
    </row>
    <row r="10" spans="1:10" x14ac:dyDescent="0.45">
      <c r="A10" s="190">
        <v>12</v>
      </c>
      <c r="B10" s="190" t="s">
        <v>98</v>
      </c>
      <c r="C10" s="191" t="s">
        <v>99</v>
      </c>
      <c r="D10" s="191" t="s">
        <v>320</v>
      </c>
      <c r="E10" s="191" t="s">
        <v>321</v>
      </c>
      <c r="F10" s="189" t="s">
        <v>353</v>
      </c>
    </row>
    <row r="11" spans="1:10" x14ac:dyDescent="0.45">
      <c r="A11" s="190">
        <v>13</v>
      </c>
      <c r="B11" s="190" t="s">
        <v>98</v>
      </c>
      <c r="C11" s="191" t="s">
        <v>99</v>
      </c>
      <c r="D11" s="191" t="s">
        <v>320</v>
      </c>
      <c r="E11" s="191" t="s">
        <v>322</v>
      </c>
      <c r="F11" s="189" t="s">
        <v>353</v>
      </c>
    </row>
    <row r="12" spans="1:10" x14ac:dyDescent="0.45">
      <c r="A12" s="190">
        <v>14</v>
      </c>
      <c r="B12" s="190" t="s">
        <v>110</v>
      </c>
      <c r="C12" s="191" t="s">
        <v>111</v>
      </c>
      <c r="D12" s="191" t="s">
        <v>323</v>
      </c>
      <c r="E12" s="191" t="s">
        <v>324</v>
      </c>
      <c r="F12" s="189" t="s">
        <v>353</v>
      </c>
    </row>
    <row r="13" spans="1:10" x14ac:dyDescent="0.45">
      <c r="A13" s="190">
        <v>15</v>
      </c>
      <c r="B13" s="190" t="s">
        <v>121</v>
      </c>
      <c r="C13" s="191" t="s">
        <v>122</v>
      </c>
      <c r="D13" s="191" t="s">
        <v>325</v>
      </c>
      <c r="E13" s="191" t="s">
        <v>326</v>
      </c>
      <c r="F13" s="189" t="s">
        <v>353</v>
      </c>
    </row>
    <row r="14" spans="1:10" x14ac:dyDescent="0.45">
      <c r="A14" s="190">
        <v>16</v>
      </c>
      <c r="B14" s="190" t="s">
        <v>121</v>
      </c>
      <c r="C14" s="191" t="s">
        <v>122</v>
      </c>
      <c r="D14" s="191" t="s">
        <v>325</v>
      </c>
      <c r="E14" s="191" t="s">
        <v>327</v>
      </c>
      <c r="F14" s="189" t="s">
        <v>353</v>
      </c>
    </row>
    <row r="15" spans="1:10" x14ac:dyDescent="0.45">
      <c r="A15" s="190">
        <v>17</v>
      </c>
      <c r="B15" s="190" t="s">
        <v>121</v>
      </c>
      <c r="C15" s="191" t="s">
        <v>122</v>
      </c>
      <c r="D15" s="191" t="s">
        <v>325</v>
      </c>
      <c r="E15" s="191" t="s">
        <v>328</v>
      </c>
      <c r="F15" s="189" t="s">
        <v>353</v>
      </c>
    </row>
    <row r="16" spans="1:10" x14ac:dyDescent="0.45">
      <c r="A16" s="190">
        <v>18</v>
      </c>
      <c r="B16" s="190" t="s">
        <v>131</v>
      </c>
      <c r="C16" s="191" t="s">
        <v>132</v>
      </c>
      <c r="D16" s="191" t="s">
        <v>325</v>
      </c>
      <c r="E16" s="191" t="s">
        <v>326</v>
      </c>
      <c r="F16" s="189" t="s">
        <v>353</v>
      </c>
    </row>
    <row r="17" spans="1:6" x14ac:dyDescent="0.45">
      <c r="A17" s="190">
        <v>19</v>
      </c>
      <c r="B17" s="190" t="s">
        <v>131</v>
      </c>
      <c r="C17" s="191" t="s">
        <v>132</v>
      </c>
      <c r="D17" s="191" t="s">
        <v>325</v>
      </c>
      <c r="E17" s="191" t="s">
        <v>327</v>
      </c>
      <c r="F17" s="189" t="s">
        <v>353</v>
      </c>
    </row>
    <row r="18" spans="1:6" x14ac:dyDescent="0.45">
      <c r="A18" s="190">
        <v>20</v>
      </c>
      <c r="B18" s="190" t="s">
        <v>131</v>
      </c>
      <c r="C18" s="191" t="s">
        <v>132</v>
      </c>
      <c r="D18" s="191" t="s">
        <v>325</v>
      </c>
      <c r="E18" s="191" t="s">
        <v>328</v>
      </c>
      <c r="F18" s="189" t="s">
        <v>353</v>
      </c>
    </row>
    <row r="19" spans="1:6" x14ac:dyDescent="0.45">
      <c r="A19" s="190">
        <v>21</v>
      </c>
      <c r="B19" s="190" t="s">
        <v>143</v>
      </c>
      <c r="C19" s="191" t="s">
        <v>144</v>
      </c>
      <c r="D19" s="191" t="s">
        <v>329</v>
      </c>
      <c r="E19" s="191" t="s">
        <v>330</v>
      </c>
      <c r="F19" s="189" t="s">
        <v>353</v>
      </c>
    </row>
    <row r="20" spans="1:6" x14ac:dyDescent="0.45">
      <c r="A20" s="190">
        <v>22</v>
      </c>
      <c r="B20" s="190" t="s">
        <v>143</v>
      </c>
      <c r="C20" s="191" t="s">
        <v>144</v>
      </c>
      <c r="D20" s="191" t="s">
        <v>329</v>
      </c>
      <c r="E20" s="191" t="s">
        <v>331</v>
      </c>
      <c r="F20" s="189" t="s">
        <v>353</v>
      </c>
    </row>
    <row r="21" spans="1:6" x14ac:dyDescent="0.45">
      <c r="A21" s="190">
        <v>23</v>
      </c>
      <c r="B21" s="190" t="s">
        <v>159</v>
      </c>
      <c r="C21" s="191" t="s">
        <v>160</v>
      </c>
      <c r="D21" s="191" t="s">
        <v>332</v>
      </c>
      <c r="E21" s="191" t="s">
        <v>165</v>
      </c>
      <c r="F21" s="189" t="s">
        <v>353</v>
      </c>
    </row>
    <row r="22" spans="1:6" x14ac:dyDescent="0.45">
      <c r="A22" s="190">
        <v>24</v>
      </c>
      <c r="B22" s="190" t="s">
        <v>159</v>
      </c>
      <c r="C22" s="191" t="s">
        <v>160</v>
      </c>
      <c r="D22" s="191" t="s">
        <v>332</v>
      </c>
      <c r="E22" s="191" t="s">
        <v>165</v>
      </c>
      <c r="F22" s="189" t="s">
        <v>353</v>
      </c>
    </row>
    <row r="23" spans="1:6" x14ac:dyDescent="0.45">
      <c r="A23" s="190">
        <v>25</v>
      </c>
      <c r="B23" s="190" t="s">
        <v>159</v>
      </c>
      <c r="C23" s="191" t="s">
        <v>160</v>
      </c>
      <c r="D23" s="191" t="s">
        <v>332</v>
      </c>
      <c r="E23" s="191" t="s">
        <v>165</v>
      </c>
      <c r="F23" s="189" t="s">
        <v>353</v>
      </c>
    </row>
    <row r="24" spans="1:6" x14ac:dyDescent="0.45">
      <c r="A24" s="190">
        <v>26</v>
      </c>
      <c r="B24" s="190" t="s">
        <v>159</v>
      </c>
      <c r="C24" s="191" t="s">
        <v>160</v>
      </c>
      <c r="D24" s="191" t="s">
        <v>332</v>
      </c>
      <c r="E24" s="191" t="s">
        <v>165</v>
      </c>
      <c r="F24" s="189" t="s">
        <v>353</v>
      </c>
    </row>
    <row r="25" spans="1:6" x14ac:dyDescent="0.45">
      <c r="A25" s="190">
        <v>27</v>
      </c>
      <c r="B25" s="190" t="s">
        <v>170</v>
      </c>
      <c r="C25" s="191" t="s">
        <v>171</v>
      </c>
      <c r="D25" s="191" t="s">
        <v>333</v>
      </c>
      <c r="E25" s="191" t="s">
        <v>334</v>
      </c>
      <c r="F25" s="189" t="s">
        <v>353</v>
      </c>
    </row>
    <row r="26" spans="1:6" x14ac:dyDescent="0.45">
      <c r="A26" s="190">
        <v>32</v>
      </c>
      <c r="B26" s="190" t="s">
        <v>188</v>
      </c>
      <c r="C26" s="191" t="s">
        <v>189</v>
      </c>
      <c r="D26" s="191" t="s">
        <v>335</v>
      </c>
      <c r="E26" s="191" t="s">
        <v>336</v>
      </c>
      <c r="F26" s="189" t="s">
        <v>353</v>
      </c>
    </row>
    <row r="27" spans="1:6" x14ac:dyDescent="0.45">
      <c r="A27" s="190">
        <v>33</v>
      </c>
      <c r="B27" s="190" t="s">
        <v>200</v>
      </c>
      <c r="C27" s="191" t="s">
        <v>201</v>
      </c>
      <c r="D27" s="191" t="s">
        <v>337</v>
      </c>
      <c r="E27" s="191" t="s">
        <v>338</v>
      </c>
      <c r="F27" s="189" t="s">
        <v>353</v>
      </c>
    </row>
    <row r="28" spans="1:6" x14ac:dyDescent="0.45">
      <c r="A28" s="190">
        <v>34</v>
      </c>
      <c r="B28" s="190" t="s">
        <v>200</v>
      </c>
      <c r="C28" s="191" t="s">
        <v>201</v>
      </c>
      <c r="D28" s="191" t="s">
        <v>337</v>
      </c>
      <c r="E28" s="191" t="s">
        <v>258</v>
      </c>
      <c r="F28" s="189" t="s">
        <v>353</v>
      </c>
    </row>
    <row r="29" spans="1:6" x14ac:dyDescent="0.45">
      <c r="A29" s="190">
        <v>35</v>
      </c>
      <c r="B29" s="190" t="s">
        <v>218</v>
      </c>
      <c r="C29" s="191" t="s">
        <v>219</v>
      </c>
      <c r="D29" s="191" t="s">
        <v>339</v>
      </c>
      <c r="E29" s="191" t="s">
        <v>340</v>
      </c>
      <c r="F29" s="189" t="s">
        <v>353</v>
      </c>
    </row>
    <row r="30" spans="1:6" x14ac:dyDescent="0.45">
      <c r="A30" s="190">
        <v>36</v>
      </c>
      <c r="B30" s="190" t="s">
        <v>218</v>
      </c>
      <c r="C30" s="191" t="s">
        <v>219</v>
      </c>
      <c r="D30" s="191" t="s">
        <v>339</v>
      </c>
      <c r="E30" s="191" t="s">
        <v>341</v>
      </c>
      <c r="F30" s="189" t="s">
        <v>353</v>
      </c>
    </row>
    <row r="31" spans="1:6" x14ac:dyDescent="0.45">
      <c r="A31" s="190">
        <v>37</v>
      </c>
      <c r="B31" s="190" t="s">
        <v>236</v>
      </c>
      <c r="C31" s="191" t="s">
        <v>237</v>
      </c>
      <c r="D31" s="191" t="s">
        <v>342</v>
      </c>
      <c r="E31" s="191" t="s">
        <v>241</v>
      </c>
      <c r="F31" s="189" t="s">
        <v>353</v>
      </c>
    </row>
    <row r="32" spans="1:6" x14ac:dyDescent="0.45">
      <c r="A32" s="190">
        <v>38</v>
      </c>
      <c r="B32" s="190" t="s">
        <v>236</v>
      </c>
      <c r="C32" s="191" t="s">
        <v>237</v>
      </c>
      <c r="D32" s="191" t="s">
        <v>342</v>
      </c>
      <c r="E32" s="191" t="s">
        <v>244</v>
      </c>
      <c r="F32" s="189" t="s">
        <v>353</v>
      </c>
    </row>
    <row r="33" spans="1:6" x14ac:dyDescent="0.45">
      <c r="A33" s="190">
        <v>39</v>
      </c>
      <c r="B33" s="190" t="s">
        <v>236</v>
      </c>
      <c r="C33" s="191" t="s">
        <v>237</v>
      </c>
      <c r="D33" s="191" t="s">
        <v>342</v>
      </c>
      <c r="E33" s="191" t="s">
        <v>247</v>
      </c>
      <c r="F33" s="189" t="s">
        <v>353</v>
      </c>
    </row>
    <row r="34" spans="1:6" x14ac:dyDescent="0.45">
      <c r="A34" s="190">
        <v>40</v>
      </c>
      <c r="B34" s="190" t="s">
        <v>343</v>
      </c>
      <c r="C34" s="191" t="s">
        <v>251</v>
      </c>
      <c r="D34" s="191" t="s">
        <v>344</v>
      </c>
      <c r="E34" s="191" t="s">
        <v>345</v>
      </c>
      <c r="F34" s="189" t="s">
        <v>353</v>
      </c>
    </row>
    <row r="35" spans="1:6" x14ac:dyDescent="0.45">
      <c r="A35" s="190">
        <v>41</v>
      </c>
      <c r="B35" s="190" t="s">
        <v>343</v>
      </c>
      <c r="C35" s="191" t="s">
        <v>251</v>
      </c>
      <c r="D35" s="191" t="s">
        <v>344</v>
      </c>
      <c r="E35" s="191" t="s">
        <v>255</v>
      </c>
      <c r="F35" s="189" t="s">
        <v>353</v>
      </c>
    </row>
    <row r="36" spans="1:6" x14ac:dyDescent="0.45">
      <c r="A36" s="190">
        <v>42</v>
      </c>
      <c r="B36" s="190" t="s">
        <v>343</v>
      </c>
      <c r="C36" s="191" t="s">
        <v>251</v>
      </c>
      <c r="D36" s="191" t="s">
        <v>344</v>
      </c>
      <c r="E36" s="191" t="s">
        <v>257</v>
      </c>
      <c r="F36" s="189" t="s">
        <v>353</v>
      </c>
    </row>
    <row r="37" spans="1:6" x14ac:dyDescent="0.45">
      <c r="A37" s="190">
        <v>45</v>
      </c>
      <c r="B37" s="190" t="s">
        <v>262</v>
      </c>
      <c r="C37" s="191" t="s">
        <v>263</v>
      </c>
      <c r="D37" s="191" t="s">
        <v>346</v>
      </c>
      <c r="E37" s="191" t="s">
        <v>314</v>
      </c>
      <c r="F37" s="189" t="s">
        <v>353</v>
      </c>
    </row>
    <row r="38" spans="1:6" x14ac:dyDescent="0.45">
      <c r="A38" s="190">
        <v>46</v>
      </c>
      <c r="B38" s="190" t="s">
        <v>262</v>
      </c>
      <c r="C38" s="191" t="s">
        <v>263</v>
      </c>
      <c r="D38" s="191" t="s">
        <v>346</v>
      </c>
      <c r="E38" s="191" t="s">
        <v>347</v>
      </c>
      <c r="F38" s="189" t="s">
        <v>353</v>
      </c>
    </row>
    <row r="39" spans="1:6" x14ac:dyDescent="0.45">
      <c r="A39" s="190">
        <v>48</v>
      </c>
      <c r="B39" s="190" t="s">
        <v>289</v>
      </c>
      <c r="C39" s="191" t="s">
        <v>290</v>
      </c>
      <c r="D39" s="191" t="s">
        <v>348</v>
      </c>
      <c r="E39" s="191" t="s">
        <v>349</v>
      </c>
      <c r="F39" s="189" t="s">
        <v>353</v>
      </c>
    </row>
    <row r="40" spans="1:6" x14ac:dyDescent="0.45">
      <c r="A40" s="190" t="s">
        <v>350</v>
      </c>
    </row>
    <row r="43" spans="1:6" x14ac:dyDescent="0.45">
      <c r="F43" s="189" t="str">
        <f t="shared" ref="F43:F106" si="0">IF(IF(AND(E43&lt;&gt;"",B43&lt;&gt;"MIS",B43&lt;&gt;"IKS"),TEXT(RIGHT($E43,5),"hh:mm")&gt;=TEXT($I$5,"hh:mm"),"")=TRUE,"〇","")</f>
        <v/>
      </c>
    </row>
    <row r="44" spans="1:6" x14ac:dyDescent="0.45">
      <c r="F44" s="189" t="str">
        <f t="shared" si="0"/>
        <v/>
      </c>
    </row>
    <row r="45" spans="1:6" x14ac:dyDescent="0.45">
      <c r="F45" s="189" t="str">
        <f t="shared" si="0"/>
        <v/>
      </c>
    </row>
    <row r="46" spans="1:6" x14ac:dyDescent="0.45">
      <c r="F46" s="189" t="str">
        <f t="shared" si="0"/>
        <v/>
      </c>
    </row>
    <row r="47" spans="1:6" x14ac:dyDescent="0.45">
      <c r="F47" s="189" t="str">
        <f t="shared" si="0"/>
        <v/>
      </c>
    </row>
    <row r="48" spans="1:6" x14ac:dyDescent="0.45">
      <c r="F48" s="189" t="str">
        <f t="shared" si="0"/>
        <v/>
      </c>
    </row>
    <row r="49" spans="6:6" x14ac:dyDescent="0.45">
      <c r="F49" s="189" t="str">
        <f t="shared" si="0"/>
        <v/>
      </c>
    </row>
    <row r="50" spans="6:6" x14ac:dyDescent="0.45">
      <c r="F50" s="189" t="str">
        <f t="shared" si="0"/>
        <v/>
      </c>
    </row>
    <row r="51" spans="6:6" x14ac:dyDescent="0.45">
      <c r="F51" s="189" t="str">
        <f t="shared" si="0"/>
        <v/>
      </c>
    </row>
    <row r="52" spans="6:6" x14ac:dyDescent="0.45">
      <c r="F52" s="189" t="str">
        <f t="shared" si="0"/>
        <v/>
      </c>
    </row>
    <row r="53" spans="6:6" x14ac:dyDescent="0.45">
      <c r="F53" s="189" t="str">
        <f t="shared" si="0"/>
        <v/>
      </c>
    </row>
    <row r="54" spans="6:6" x14ac:dyDescent="0.45">
      <c r="F54" s="189" t="str">
        <f t="shared" si="0"/>
        <v/>
      </c>
    </row>
    <row r="55" spans="6:6" x14ac:dyDescent="0.45">
      <c r="F55" s="189" t="str">
        <f t="shared" si="0"/>
        <v/>
      </c>
    </row>
    <row r="56" spans="6:6" x14ac:dyDescent="0.45">
      <c r="F56" s="189" t="str">
        <f t="shared" si="0"/>
        <v/>
      </c>
    </row>
    <row r="57" spans="6:6" x14ac:dyDescent="0.45">
      <c r="F57" s="189" t="str">
        <f t="shared" si="0"/>
        <v/>
      </c>
    </row>
    <row r="58" spans="6:6" x14ac:dyDescent="0.45">
      <c r="F58" s="189" t="str">
        <f t="shared" si="0"/>
        <v/>
      </c>
    </row>
    <row r="59" spans="6:6" x14ac:dyDescent="0.45">
      <c r="F59" s="189" t="str">
        <f t="shared" si="0"/>
        <v/>
      </c>
    </row>
    <row r="60" spans="6:6" x14ac:dyDescent="0.45">
      <c r="F60" s="189" t="str">
        <f t="shared" si="0"/>
        <v/>
      </c>
    </row>
    <row r="61" spans="6:6" x14ac:dyDescent="0.45">
      <c r="F61" s="189" t="str">
        <f t="shared" si="0"/>
        <v/>
      </c>
    </row>
    <row r="62" spans="6:6" x14ac:dyDescent="0.45">
      <c r="F62" s="189" t="str">
        <f t="shared" si="0"/>
        <v/>
      </c>
    </row>
    <row r="63" spans="6:6" x14ac:dyDescent="0.45">
      <c r="F63" s="189" t="str">
        <f t="shared" si="0"/>
        <v/>
      </c>
    </row>
    <row r="64" spans="6:6" x14ac:dyDescent="0.45">
      <c r="F64" s="189" t="str">
        <f t="shared" si="0"/>
        <v/>
      </c>
    </row>
    <row r="65" spans="6:6" x14ac:dyDescent="0.45">
      <c r="F65" s="189" t="str">
        <f t="shared" si="0"/>
        <v/>
      </c>
    </row>
    <row r="66" spans="6:6" x14ac:dyDescent="0.45">
      <c r="F66" s="189" t="str">
        <f t="shared" si="0"/>
        <v/>
      </c>
    </row>
    <row r="67" spans="6:6" x14ac:dyDescent="0.45">
      <c r="F67" s="189" t="str">
        <f t="shared" si="0"/>
        <v/>
      </c>
    </row>
    <row r="68" spans="6:6" x14ac:dyDescent="0.45">
      <c r="F68" s="189" t="str">
        <f t="shared" si="0"/>
        <v/>
      </c>
    </row>
    <row r="69" spans="6:6" x14ac:dyDescent="0.45">
      <c r="F69" s="189" t="str">
        <f t="shared" si="0"/>
        <v/>
      </c>
    </row>
    <row r="70" spans="6:6" x14ac:dyDescent="0.45">
      <c r="F70" s="189" t="str">
        <f t="shared" si="0"/>
        <v/>
      </c>
    </row>
    <row r="71" spans="6:6" x14ac:dyDescent="0.45">
      <c r="F71" s="189" t="str">
        <f t="shared" si="0"/>
        <v/>
      </c>
    </row>
    <row r="72" spans="6:6" x14ac:dyDescent="0.45">
      <c r="F72" s="189" t="str">
        <f t="shared" si="0"/>
        <v/>
      </c>
    </row>
    <row r="73" spans="6:6" x14ac:dyDescent="0.45">
      <c r="F73" s="189" t="str">
        <f t="shared" si="0"/>
        <v/>
      </c>
    </row>
    <row r="74" spans="6:6" x14ac:dyDescent="0.45">
      <c r="F74" s="189" t="str">
        <f t="shared" si="0"/>
        <v/>
      </c>
    </row>
    <row r="75" spans="6:6" x14ac:dyDescent="0.45">
      <c r="F75" s="189" t="str">
        <f t="shared" si="0"/>
        <v/>
      </c>
    </row>
    <row r="76" spans="6:6" x14ac:dyDescent="0.45">
      <c r="F76" s="189" t="str">
        <f t="shared" si="0"/>
        <v/>
      </c>
    </row>
    <row r="77" spans="6:6" x14ac:dyDescent="0.45">
      <c r="F77" s="189" t="str">
        <f t="shared" si="0"/>
        <v/>
      </c>
    </row>
    <row r="78" spans="6:6" x14ac:dyDescent="0.45">
      <c r="F78" s="189" t="str">
        <f t="shared" si="0"/>
        <v/>
      </c>
    </row>
    <row r="79" spans="6:6" x14ac:dyDescent="0.45">
      <c r="F79" s="189" t="str">
        <f t="shared" si="0"/>
        <v/>
      </c>
    </row>
    <row r="80" spans="6:6" x14ac:dyDescent="0.45">
      <c r="F80" s="189" t="str">
        <f t="shared" si="0"/>
        <v/>
      </c>
    </row>
    <row r="81" spans="6:6" x14ac:dyDescent="0.45">
      <c r="F81" s="189" t="str">
        <f t="shared" si="0"/>
        <v/>
      </c>
    </row>
    <row r="82" spans="6:6" x14ac:dyDescent="0.45">
      <c r="F82" s="189" t="str">
        <f t="shared" si="0"/>
        <v/>
      </c>
    </row>
    <row r="83" spans="6:6" x14ac:dyDescent="0.45">
      <c r="F83" s="189" t="str">
        <f t="shared" si="0"/>
        <v/>
      </c>
    </row>
    <row r="84" spans="6:6" x14ac:dyDescent="0.45">
      <c r="F84" s="189" t="str">
        <f t="shared" si="0"/>
        <v/>
      </c>
    </row>
    <row r="85" spans="6:6" x14ac:dyDescent="0.45">
      <c r="F85" s="189" t="str">
        <f t="shared" si="0"/>
        <v/>
      </c>
    </row>
    <row r="86" spans="6:6" x14ac:dyDescent="0.45">
      <c r="F86" s="189" t="str">
        <f t="shared" si="0"/>
        <v/>
      </c>
    </row>
    <row r="87" spans="6:6" x14ac:dyDescent="0.45">
      <c r="F87" s="189" t="str">
        <f t="shared" si="0"/>
        <v/>
      </c>
    </row>
    <row r="88" spans="6:6" x14ac:dyDescent="0.45">
      <c r="F88" s="189" t="str">
        <f t="shared" si="0"/>
        <v/>
      </c>
    </row>
    <row r="89" spans="6:6" x14ac:dyDescent="0.45">
      <c r="F89" s="189" t="str">
        <f t="shared" si="0"/>
        <v/>
      </c>
    </row>
    <row r="90" spans="6:6" x14ac:dyDescent="0.45">
      <c r="F90" s="189" t="str">
        <f t="shared" si="0"/>
        <v/>
      </c>
    </row>
    <row r="91" spans="6:6" x14ac:dyDescent="0.45">
      <c r="F91" s="189" t="str">
        <f t="shared" si="0"/>
        <v/>
      </c>
    </row>
    <row r="92" spans="6:6" x14ac:dyDescent="0.45">
      <c r="F92" s="189" t="str">
        <f t="shared" si="0"/>
        <v/>
      </c>
    </row>
    <row r="93" spans="6:6" x14ac:dyDescent="0.45">
      <c r="F93" s="189" t="str">
        <f t="shared" si="0"/>
        <v/>
      </c>
    </row>
    <row r="94" spans="6:6" x14ac:dyDescent="0.45">
      <c r="F94" s="189" t="str">
        <f t="shared" si="0"/>
        <v/>
      </c>
    </row>
    <row r="95" spans="6:6" x14ac:dyDescent="0.45">
      <c r="F95" s="189" t="str">
        <f t="shared" si="0"/>
        <v/>
      </c>
    </row>
    <row r="96" spans="6:6" x14ac:dyDescent="0.45">
      <c r="F96" s="189" t="str">
        <f t="shared" si="0"/>
        <v/>
      </c>
    </row>
    <row r="97" spans="6:6" x14ac:dyDescent="0.45">
      <c r="F97" s="189" t="str">
        <f t="shared" si="0"/>
        <v/>
      </c>
    </row>
    <row r="98" spans="6:6" x14ac:dyDescent="0.45">
      <c r="F98" s="189" t="str">
        <f t="shared" si="0"/>
        <v/>
      </c>
    </row>
    <row r="99" spans="6:6" x14ac:dyDescent="0.45">
      <c r="F99" s="189" t="str">
        <f t="shared" si="0"/>
        <v/>
      </c>
    </row>
    <row r="100" spans="6:6" x14ac:dyDescent="0.45">
      <c r="F100" s="189" t="str">
        <f t="shared" si="0"/>
        <v/>
      </c>
    </row>
    <row r="101" spans="6:6" x14ac:dyDescent="0.45">
      <c r="F101" s="189" t="str">
        <f t="shared" si="0"/>
        <v/>
      </c>
    </row>
    <row r="102" spans="6:6" x14ac:dyDescent="0.45">
      <c r="F102" s="189" t="str">
        <f t="shared" si="0"/>
        <v/>
      </c>
    </row>
    <row r="103" spans="6:6" x14ac:dyDescent="0.45">
      <c r="F103" s="189" t="str">
        <f t="shared" si="0"/>
        <v/>
      </c>
    </row>
    <row r="104" spans="6:6" x14ac:dyDescent="0.45">
      <c r="F104" s="189" t="str">
        <f t="shared" si="0"/>
        <v/>
      </c>
    </row>
    <row r="105" spans="6:6" x14ac:dyDescent="0.45">
      <c r="F105" s="189" t="str">
        <f t="shared" si="0"/>
        <v/>
      </c>
    </row>
    <row r="106" spans="6:6" x14ac:dyDescent="0.45">
      <c r="F106" s="189" t="str">
        <f t="shared" si="0"/>
        <v/>
      </c>
    </row>
    <row r="107" spans="6:6" x14ac:dyDescent="0.45">
      <c r="F107" s="189" t="str">
        <f t="shared" ref="F107:F152" si="1">IF(IF(AND(E107&lt;&gt;"",B107&lt;&gt;"MIS",B107&lt;&gt;"IKS"),TEXT(RIGHT($E107,5),"hh:mm")&gt;=TEXT($I$5,"hh:mm"),"")=TRUE,"〇","")</f>
        <v/>
      </c>
    </row>
    <row r="108" spans="6:6" x14ac:dyDescent="0.45">
      <c r="F108" s="189" t="str">
        <f t="shared" si="1"/>
        <v/>
      </c>
    </row>
    <row r="109" spans="6:6" x14ac:dyDescent="0.45">
      <c r="F109" s="189" t="str">
        <f t="shared" si="1"/>
        <v/>
      </c>
    </row>
    <row r="110" spans="6:6" x14ac:dyDescent="0.45">
      <c r="F110" s="189" t="str">
        <f t="shared" si="1"/>
        <v/>
      </c>
    </row>
    <row r="111" spans="6:6" x14ac:dyDescent="0.45">
      <c r="F111" s="189" t="str">
        <f t="shared" si="1"/>
        <v/>
      </c>
    </row>
    <row r="112" spans="6:6" x14ac:dyDescent="0.45">
      <c r="F112" s="189" t="str">
        <f t="shared" si="1"/>
        <v/>
      </c>
    </row>
  </sheetData>
  <autoFilter ref="A1:I112"/>
  <phoneticPr fontId="2"/>
  <conditionalFormatting sqref="E1:E1048576">
    <cfRule type="expression" dxfId="3" priority="1">
      <formula>TEXT(RIGHT($E1,5),"hh:mm")&gt;=TEXT($I$5,"hh:mm")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9</xdr:col>
                <xdr:colOff>30480</xdr:colOff>
                <xdr:row>6</xdr:row>
                <xdr:rowOff>106680</xdr:rowOff>
              </from>
              <to>
                <xdr:col>11</xdr:col>
                <xdr:colOff>213360</xdr:colOff>
                <xdr:row>9</xdr:row>
                <xdr:rowOff>144780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7</xdr:col>
                <xdr:colOff>472440</xdr:colOff>
                <xdr:row>6</xdr:row>
                <xdr:rowOff>114300</xdr:rowOff>
              </from>
              <to>
                <xdr:col>8</xdr:col>
                <xdr:colOff>480060</xdr:colOff>
                <xdr:row>9</xdr:row>
                <xdr:rowOff>152400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K140"/>
  <sheetViews>
    <sheetView zoomScale="85" zoomScaleNormal="85" workbookViewId="0">
      <pane ySplit="3" topLeftCell="A4" activePane="bottomLeft" state="frozen"/>
      <selection activeCell="J8" sqref="J8"/>
      <selection pane="bottomLeft" activeCell="J14" sqref="J14"/>
    </sheetView>
  </sheetViews>
  <sheetFormatPr defaultColWidth="22.59765625" defaultRowHeight="13.2" x14ac:dyDescent="0.45"/>
  <cols>
    <col min="1" max="1" width="8.69921875" style="1" customWidth="1"/>
    <col min="2" max="2" width="8" style="2" customWidth="1"/>
    <col min="3" max="3" width="13.296875" style="3" bestFit="1" customWidth="1"/>
    <col min="4" max="4" width="9.09765625" style="3" bestFit="1" customWidth="1"/>
    <col min="5" max="5" width="12.19921875" style="4" bestFit="1" customWidth="1"/>
    <col min="6" max="6" width="8.69921875" style="5" customWidth="1"/>
    <col min="7" max="7" width="10.69921875" style="6" customWidth="1"/>
    <col min="8" max="9" width="12.8984375" style="6" customWidth="1"/>
    <col min="10" max="10" width="37" style="7" customWidth="1"/>
    <col min="11" max="11" width="26.796875" style="6" customWidth="1"/>
    <col min="12" max="16384" width="22.59765625" style="6"/>
  </cols>
  <sheetData>
    <row r="1" spans="1:11" ht="13.8" thickBot="1" x14ac:dyDescent="0.5"/>
    <row r="2" spans="1:11" s="4" customFormat="1" ht="24.45" customHeight="1" thickTop="1" x14ac:dyDescent="0.45">
      <c r="A2" s="8"/>
      <c r="B2" s="196" t="s">
        <v>0</v>
      </c>
      <c r="C2" s="197"/>
      <c r="D2" s="198" t="s">
        <v>1</v>
      </c>
      <c r="E2" s="199">
        <v>44436</v>
      </c>
      <c r="F2" s="200"/>
      <c r="G2" s="201" t="s">
        <v>2</v>
      </c>
      <c r="H2" s="202" t="s">
        <v>3</v>
      </c>
      <c r="I2" s="197"/>
      <c r="J2" s="203" t="s">
        <v>4</v>
      </c>
    </row>
    <row r="3" spans="1:11" s="4" customFormat="1" ht="13.8" thickBot="1" x14ac:dyDescent="0.5">
      <c r="A3" s="8"/>
      <c r="B3" s="204"/>
      <c r="C3" s="205"/>
      <c r="D3" s="20"/>
      <c r="E3" s="21"/>
      <c r="F3" s="22"/>
      <c r="G3" s="23"/>
      <c r="H3" s="206" t="s">
        <v>5</v>
      </c>
      <c r="I3" s="25" t="s">
        <v>6</v>
      </c>
      <c r="J3" s="207"/>
    </row>
    <row r="4" spans="1:11" s="35" customFormat="1" ht="22.8" customHeight="1" thickTop="1" x14ac:dyDescent="0.45">
      <c r="A4" s="27">
        <v>1</v>
      </c>
      <c r="B4" s="208" t="s">
        <v>29</v>
      </c>
      <c r="C4" s="209" t="s">
        <v>41</v>
      </c>
      <c r="D4" s="210" t="s">
        <v>311</v>
      </c>
      <c r="E4" s="211" t="s">
        <v>358</v>
      </c>
      <c r="F4" s="212">
        <v>0.39583333333333331</v>
      </c>
      <c r="G4" s="213"/>
      <c r="H4" s="214"/>
      <c r="I4" s="215"/>
      <c r="J4" s="216"/>
      <c r="K4" s="34"/>
    </row>
    <row r="5" spans="1:11" s="35" customFormat="1" ht="22.8" customHeight="1" x14ac:dyDescent="0.45">
      <c r="A5" s="27"/>
      <c r="B5" s="217"/>
      <c r="C5" s="218"/>
      <c r="D5" s="219"/>
      <c r="E5" s="220" t="s">
        <v>359</v>
      </c>
      <c r="F5" s="221">
        <v>0.49305555555555558</v>
      </c>
      <c r="G5" s="222"/>
      <c r="H5" s="223"/>
      <c r="I5" s="224"/>
      <c r="J5" s="225"/>
      <c r="K5" s="34"/>
    </row>
    <row r="6" spans="1:11" s="35" customFormat="1" ht="22.8" customHeight="1" thickBot="1" x14ac:dyDescent="0.5">
      <c r="A6" s="27"/>
      <c r="B6" s="217"/>
      <c r="C6" s="218"/>
      <c r="D6" s="219"/>
      <c r="E6" s="226" t="s">
        <v>360</v>
      </c>
      <c r="F6" s="227">
        <v>0.53472222222222221</v>
      </c>
      <c r="G6" s="228"/>
      <c r="H6" s="229"/>
      <c r="I6" s="230"/>
      <c r="J6" s="225"/>
      <c r="K6" s="34"/>
    </row>
    <row r="7" spans="1:11" s="35" customFormat="1" ht="22.8" customHeight="1" thickTop="1" x14ac:dyDescent="0.45">
      <c r="A7" s="36"/>
      <c r="B7" s="217"/>
      <c r="C7" s="218"/>
      <c r="D7" s="219"/>
      <c r="E7" s="231" t="s">
        <v>358</v>
      </c>
      <c r="F7" s="232">
        <v>0.79166666666666663</v>
      </c>
      <c r="G7" s="233"/>
      <c r="H7" s="234"/>
      <c r="I7" s="235"/>
      <c r="J7" s="236"/>
      <c r="K7" s="34"/>
    </row>
    <row r="8" spans="1:11" s="35" customFormat="1" ht="22.8" customHeight="1" x14ac:dyDescent="0.45">
      <c r="A8" s="27"/>
      <c r="B8" s="217"/>
      <c r="C8" s="218"/>
      <c r="D8" s="219"/>
      <c r="E8" s="220" t="s">
        <v>359</v>
      </c>
      <c r="F8" s="221">
        <v>0.875</v>
      </c>
      <c r="G8" s="222"/>
      <c r="H8" s="223"/>
      <c r="I8" s="224"/>
      <c r="J8" s="225"/>
      <c r="K8" s="34"/>
    </row>
    <row r="9" spans="1:11" s="35" customFormat="1" ht="22.8" customHeight="1" thickBot="1" x14ac:dyDescent="0.5">
      <c r="A9" s="27"/>
      <c r="B9" s="237"/>
      <c r="C9" s="238"/>
      <c r="D9" s="239"/>
      <c r="E9" s="240" t="s">
        <v>360</v>
      </c>
      <c r="F9" s="241">
        <v>0.91666666666666663</v>
      </c>
      <c r="G9" s="242"/>
      <c r="H9" s="243"/>
      <c r="I9" s="244"/>
      <c r="J9" s="245"/>
      <c r="K9" s="34"/>
    </row>
    <row r="10" spans="1:11" s="35" customFormat="1" ht="22.8" customHeight="1" thickTop="1" x14ac:dyDescent="0.15">
      <c r="A10" s="27">
        <v>1</v>
      </c>
      <c r="B10" s="246" t="s">
        <v>50</v>
      </c>
      <c r="C10" s="247" t="s">
        <v>51</v>
      </c>
      <c r="D10" s="248" t="s">
        <v>53</v>
      </c>
      <c r="E10" s="249" t="s">
        <v>358</v>
      </c>
      <c r="F10" s="250">
        <v>0.375</v>
      </c>
      <c r="G10" s="251"/>
      <c r="H10" s="252"/>
      <c r="I10" s="253"/>
      <c r="J10" s="254"/>
      <c r="K10" s="34"/>
    </row>
    <row r="11" spans="1:11" s="35" customFormat="1" ht="22.8" customHeight="1" x14ac:dyDescent="0.15">
      <c r="A11" s="27"/>
      <c r="B11" s="217"/>
      <c r="C11" s="218"/>
      <c r="D11" s="219"/>
      <c r="E11" s="220" t="s">
        <v>361</v>
      </c>
      <c r="F11" s="221">
        <v>0.5</v>
      </c>
      <c r="G11" s="222"/>
      <c r="H11" s="223"/>
      <c r="I11" s="224"/>
      <c r="J11" s="255"/>
      <c r="K11" s="34"/>
    </row>
    <row r="12" spans="1:11" s="35" customFormat="1" ht="22.8" customHeight="1" x14ac:dyDescent="0.15">
      <c r="A12" s="27"/>
      <c r="B12" s="217"/>
      <c r="C12" s="218"/>
      <c r="D12" s="219"/>
      <c r="E12" s="220" t="s">
        <v>359</v>
      </c>
      <c r="F12" s="221">
        <v>0.58333333333333337</v>
      </c>
      <c r="G12" s="222"/>
      <c r="H12" s="223"/>
      <c r="I12" s="224"/>
      <c r="J12" s="255"/>
      <c r="K12" s="34"/>
    </row>
    <row r="13" spans="1:11" s="35" customFormat="1" ht="22.8" customHeight="1" thickBot="1" x14ac:dyDescent="0.5">
      <c r="A13" s="27"/>
      <c r="B13" s="217"/>
      <c r="C13" s="218"/>
      <c r="D13" s="219"/>
      <c r="E13" s="226" t="s">
        <v>360</v>
      </c>
      <c r="F13" s="227">
        <v>0.625</v>
      </c>
      <c r="G13" s="228"/>
      <c r="H13" s="229"/>
      <c r="I13" s="230"/>
      <c r="J13" s="225"/>
      <c r="K13" s="34"/>
    </row>
    <row r="14" spans="1:11" s="35" customFormat="1" ht="22.8" customHeight="1" thickTop="1" x14ac:dyDescent="0.45">
      <c r="A14" s="27"/>
      <c r="B14" s="217"/>
      <c r="C14" s="218"/>
      <c r="D14" s="219"/>
      <c r="E14" s="231" t="s">
        <v>358</v>
      </c>
      <c r="F14" s="232">
        <v>0.6875</v>
      </c>
      <c r="G14" s="233"/>
      <c r="H14" s="234"/>
      <c r="I14" s="235"/>
      <c r="J14" s="236"/>
      <c r="K14" s="34"/>
    </row>
    <row r="15" spans="1:11" s="35" customFormat="1" ht="22.8" customHeight="1" x14ac:dyDescent="0.45">
      <c r="A15" s="27"/>
      <c r="B15" s="217"/>
      <c r="C15" s="218"/>
      <c r="D15" s="219"/>
      <c r="E15" s="220" t="s">
        <v>361</v>
      </c>
      <c r="F15" s="221">
        <v>0.79166666666666663</v>
      </c>
      <c r="G15" s="222"/>
      <c r="H15" s="223"/>
      <c r="I15" s="224"/>
      <c r="J15" s="225"/>
      <c r="K15" s="34"/>
    </row>
    <row r="16" spans="1:11" s="35" customFormat="1" ht="22.8" customHeight="1" x14ac:dyDescent="0.45">
      <c r="A16" s="27"/>
      <c r="B16" s="217"/>
      <c r="C16" s="218"/>
      <c r="D16" s="219"/>
      <c r="E16" s="220" t="s">
        <v>359</v>
      </c>
      <c r="F16" s="221">
        <v>0.85416666666666663</v>
      </c>
      <c r="G16" s="222"/>
      <c r="H16" s="223"/>
      <c r="I16" s="224"/>
      <c r="J16" s="225"/>
      <c r="K16" s="34"/>
    </row>
    <row r="17" spans="1:11" s="35" customFormat="1" ht="22.8" customHeight="1" thickBot="1" x14ac:dyDescent="0.5">
      <c r="A17" s="27"/>
      <c r="B17" s="237"/>
      <c r="C17" s="238"/>
      <c r="D17" s="239"/>
      <c r="E17" s="240" t="s">
        <v>360</v>
      </c>
      <c r="F17" s="241">
        <v>0.89583333333333337</v>
      </c>
      <c r="G17" s="242"/>
      <c r="H17" s="243"/>
      <c r="I17" s="244"/>
      <c r="J17" s="245"/>
      <c r="K17" s="34"/>
    </row>
    <row r="18" spans="1:11" s="35" customFormat="1" ht="22.8" customHeight="1" thickTop="1" x14ac:dyDescent="0.45">
      <c r="A18" s="27">
        <v>1</v>
      </c>
      <c r="B18" s="246" t="s">
        <v>71</v>
      </c>
      <c r="C18" s="247" t="s">
        <v>72</v>
      </c>
      <c r="D18" s="248" t="s">
        <v>316</v>
      </c>
      <c r="E18" s="249" t="s">
        <v>358</v>
      </c>
      <c r="F18" s="250">
        <v>0.47916666666666669</v>
      </c>
      <c r="G18" s="251"/>
      <c r="H18" s="252"/>
      <c r="I18" s="253"/>
      <c r="J18" s="256"/>
      <c r="K18" s="34"/>
    </row>
    <row r="19" spans="1:11" s="35" customFormat="1" ht="22.8" customHeight="1" x14ac:dyDescent="0.45">
      <c r="A19" s="27"/>
      <c r="B19" s="217"/>
      <c r="C19" s="218"/>
      <c r="D19" s="219"/>
      <c r="E19" s="220" t="s">
        <v>361</v>
      </c>
      <c r="F19" s="221">
        <v>0.57291666666666663</v>
      </c>
      <c r="G19" s="222"/>
      <c r="H19" s="223"/>
      <c r="I19" s="224"/>
      <c r="J19" s="225"/>
      <c r="K19" s="34"/>
    </row>
    <row r="20" spans="1:11" s="35" customFormat="1" ht="22.8" customHeight="1" x14ac:dyDescent="0.45">
      <c r="A20" s="27"/>
      <c r="B20" s="217"/>
      <c r="C20" s="218"/>
      <c r="D20" s="219"/>
      <c r="E20" s="220" t="s">
        <v>359</v>
      </c>
      <c r="F20" s="221">
        <v>0.625</v>
      </c>
      <c r="G20" s="222"/>
      <c r="H20" s="223"/>
      <c r="I20" s="224"/>
      <c r="J20" s="225"/>
      <c r="K20" s="34"/>
    </row>
    <row r="21" spans="1:11" s="35" customFormat="1" ht="22.8" customHeight="1" thickBot="1" x14ac:dyDescent="0.5">
      <c r="A21" s="27"/>
      <c r="B21" s="217"/>
      <c r="C21" s="218"/>
      <c r="D21" s="219"/>
      <c r="E21" s="226" t="s">
        <v>360</v>
      </c>
      <c r="F21" s="227">
        <v>0.66666666666666663</v>
      </c>
      <c r="G21" s="228"/>
      <c r="H21" s="229"/>
      <c r="I21" s="230"/>
      <c r="J21" s="225"/>
      <c r="K21" s="34"/>
    </row>
    <row r="22" spans="1:11" s="35" customFormat="1" ht="22.8" customHeight="1" thickTop="1" x14ac:dyDescent="0.15">
      <c r="A22" s="38"/>
      <c r="B22" s="217"/>
      <c r="C22" s="218"/>
      <c r="D22" s="219"/>
      <c r="E22" s="231" t="s">
        <v>358</v>
      </c>
      <c r="F22" s="232">
        <v>0.72916666666666663</v>
      </c>
      <c r="G22" s="233"/>
      <c r="H22" s="234"/>
      <c r="I22" s="235"/>
      <c r="J22" s="257"/>
      <c r="K22" s="34"/>
    </row>
    <row r="23" spans="1:11" s="35" customFormat="1" ht="22.8" customHeight="1" x14ac:dyDescent="0.15">
      <c r="A23" s="38"/>
      <c r="B23" s="217"/>
      <c r="C23" s="218"/>
      <c r="D23" s="219"/>
      <c r="E23" s="220" t="s">
        <v>361</v>
      </c>
      <c r="F23" s="221">
        <v>0.81770833333333337</v>
      </c>
      <c r="G23" s="222"/>
      <c r="H23" s="223"/>
      <c r="I23" s="224"/>
      <c r="J23" s="255"/>
      <c r="K23" s="34"/>
    </row>
    <row r="24" spans="1:11" s="35" customFormat="1" ht="22.8" customHeight="1" x14ac:dyDescent="0.15">
      <c r="A24" s="38"/>
      <c r="B24" s="217"/>
      <c r="C24" s="218"/>
      <c r="D24" s="219"/>
      <c r="E24" s="220" t="s">
        <v>359</v>
      </c>
      <c r="F24" s="221">
        <v>0.86458333333333337</v>
      </c>
      <c r="G24" s="222"/>
      <c r="H24" s="223"/>
      <c r="I24" s="224"/>
      <c r="J24" s="255"/>
      <c r="K24" s="34"/>
    </row>
    <row r="25" spans="1:11" s="35" customFormat="1" ht="22.8" customHeight="1" thickBot="1" x14ac:dyDescent="0.5">
      <c r="A25" s="38"/>
      <c r="B25" s="237"/>
      <c r="C25" s="238"/>
      <c r="D25" s="239"/>
      <c r="E25" s="240" t="s">
        <v>360</v>
      </c>
      <c r="F25" s="241">
        <v>0.90625</v>
      </c>
      <c r="G25" s="242"/>
      <c r="H25" s="243"/>
      <c r="I25" s="244"/>
      <c r="J25" s="245"/>
      <c r="K25" s="34"/>
    </row>
    <row r="26" spans="1:11" s="35" customFormat="1" ht="22.8" customHeight="1" thickTop="1" x14ac:dyDescent="0.45">
      <c r="A26" s="38">
        <v>1</v>
      </c>
      <c r="B26" s="246" t="s">
        <v>88</v>
      </c>
      <c r="C26" s="247" t="s">
        <v>89</v>
      </c>
      <c r="D26" s="248" t="s">
        <v>318</v>
      </c>
      <c r="E26" s="249" t="s">
        <v>358</v>
      </c>
      <c r="F26" s="250">
        <v>0.4375</v>
      </c>
      <c r="G26" s="251"/>
      <c r="H26" s="252"/>
      <c r="I26" s="253"/>
      <c r="J26" s="256"/>
      <c r="K26" s="34"/>
    </row>
    <row r="27" spans="1:11" s="35" customFormat="1" ht="22.8" customHeight="1" x14ac:dyDescent="0.45">
      <c r="A27" s="38"/>
      <c r="B27" s="217"/>
      <c r="C27" s="218"/>
      <c r="D27" s="219"/>
      <c r="E27" s="220" t="s">
        <v>359</v>
      </c>
      <c r="F27" s="221">
        <v>0.52083333333333337</v>
      </c>
      <c r="G27" s="222"/>
      <c r="H27" s="223"/>
      <c r="I27" s="224"/>
      <c r="J27" s="225"/>
      <c r="K27" s="34"/>
    </row>
    <row r="28" spans="1:11" s="35" customFormat="1" ht="22.8" customHeight="1" thickBot="1" x14ac:dyDescent="0.5">
      <c r="A28" s="27"/>
      <c r="B28" s="217"/>
      <c r="C28" s="218"/>
      <c r="D28" s="219"/>
      <c r="E28" s="226" t="s">
        <v>360</v>
      </c>
      <c r="F28" s="227">
        <v>0.5625</v>
      </c>
      <c r="G28" s="228"/>
      <c r="H28" s="229"/>
      <c r="I28" s="230"/>
      <c r="J28" s="225"/>
      <c r="K28" s="39"/>
    </row>
    <row r="29" spans="1:11" s="35" customFormat="1" ht="22.8" customHeight="1" thickTop="1" x14ac:dyDescent="0.45">
      <c r="A29" s="27"/>
      <c r="B29" s="217"/>
      <c r="C29" s="218"/>
      <c r="D29" s="219"/>
      <c r="E29" s="231" t="s">
        <v>358</v>
      </c>
      <c r="F29" s="232">
        <v>0.66666666666666663</v>
      </c>
      <c r="G29" s="233"/>
      <c r="H29" s="234"/>
      <c r="I29" s="235"/>
      <c r="J29" s="236"/>
      <c r="K29" s="39"/>
    </row>
    <row r="30" spans="1:11" s="35" customFormat="1" ht="22.8" customHeight="1" x14ac:dyDescent="0.45">
      <c r="A30" s="27"/>
      <c r="B30" s="217"/>
      <c r="C30" s="218"/>
      <c r="D30" s="219"/>
      <c r="E30" s="220" t="s">
        <v>359</v>
      </c>
      <c r="F30" s="221">
        <v>0.73611111111111116</v>
      </c>
      <c r="G30" s="222"/>
      <c r="H30" s="223"/>
      <c r="I30" s="224"/>
      <c r="J30" s="225"/>
      <c r="K30" s="39"/>
    </row>
    <row r="31" spans="1:11" s="35" customFormat="1" ht="22.8" customHeight="1" thickBot="1" x14ac:dyDescent="0.5">
      <c r="A31" s="38"/>
      <c r="B31" s="237"/>
      <c r="C31" s="238"/>
      <c r="D31" s="239"/>
      <c r="E31" s="240" t="s">
        <v>360</v>
      </c>
      <c r="F31" s="241">
        <v>0.77777777777777779</v>
      </c>
      <c r="G31" s="242"/>
      <c r="H31" s="243"/>
      <c r="I31" s="244"/>
      <c r="J31" s="245"/>
      <c r="K31" s="34"/>
    </row>
    <row r="32" spans="1:11" s="35" customFormat="1" ht="22.8" customHeight="1" thickTop="1" x14ac:dyDescent="0.45">
      <c r="A32" s="38">
        <v>1</v>
      </c>
      <c r="B32" s="246" t="s">
        <v>98</v>
      </c>
      <c r="C32" s="247" t="s">
        <v>99</v>
      </c>
      <c r="D32" s="248" t="s">
        <v>320</v>
      </c>
      <c r="E32" s="249" t="s">
        <v>358</v>
      </c>
      <c r="F32" s="250">
        <v>0.45833333333333331</v>
      </c>
      <c r="G32" s="251"/>
      <c r="H32" s="252"/>
      <c r="I32" s="253"/>
      <c r="J32" s="256"/>
      <c r="K32" s="34"/>
    </row>
    <row r="33" spans="1:11" s="35" customFormat="1" ht="22.8" customHeight="1" x14ac:dyDescent="0.45">
      <c r="A33" s="38"/>
      <c r="B33" s="217"/>
      <c r="C33" s="218"/>
      <c r="D33" s="219"/>
      <c r="E33" s="220" t="s">
        <v>359</v>
      </c>
      <c r="F33" s="221">
        <v>0.55208333333333337</v>
      </c>
      <c r="G33" s="222"/>
      <c r="H33" s="223"/>
      <c r="I33" s="224"/>
      <c r="J33" s="225"/>
      <c r="K33" s="34"/>
    </row>
    <row r="34" spans="1:11" s="35" customFormat="1" ht="22.8" customHeight="1" thickBot="1" x14ac:dyDescent="0.5">
      <c r="A34" s="36"/>
      <c r="B34" s="217"/>
      <c r="C34" s="218"/>
      <c r="D34" s="219"/>
      <c r="E34" s="226" t="s">
        <v>360</v>
      </c>
      <c r="F34" s="227">
        <v>0.59375</v>
      </c>
      <c r="G34" s="228"/>
      <c r="H34" s="229"/>
      <c r="I34" s="230"/>
      <c r="J34" s="225"/>
      <c r="K34" s="34"/>
    </row>
    <row r="35" spans="1:11" s="35" customFormat="1" ht="22.8" customHeight="1" thickTop="1" x14ac:dyDescent="0.45">
      <c r="A35" s="27"/>
      <c r="B35" s="217"/>
      <c r="C35" s="218"/>
      <c r="D35" s="219"/>
      <c r="E35" s="231" t="s">
        <v>358</v>
      </c>
      <c r="F35" s="232">
        <v>0.6875</v>
      </c>
      <c r="G35" s="233"/>
      <c r="H35" s="234"/>
      <c r="I35" s="235"/>
      <c r="J35" s="236"/>
      <c r="K35" s="34"/>
    </row>
    <row r="36" spans="1:11" s="35" customFormat="1" ht="22.8" customHeight="1" x14ac:dyDescent="0.45">
      <c r="A36" s="27"/>
      <c r="B36" s="217"/>
      <c r="C36" s="218"/>
      <c r="D36" s="219"/>
      <c r="E36" s="220" t="s">
        <v>359</v>
      </c>
      <c r="F36" s="221">
        <v>0.78125</v>
      </c>
      <c r="G36" s="222"/>
      <c r="H36" s="223"/>
      <c r="I36" s="224"/>
      <c r="J36" s="225"/>
      <c r="K36" s="34"/>
    </row>
    <row r="37" spans="1:11" s="35" customFormat="1" ht="22.8" customHeight="1" thickBot="1" x14ac:dyDescent="0.5">
      <c r="A37" s="27"/>
      <c r="B37" s="237"/>
      <c r="C37" s="238"/>
      <c r="D37" s="239"/>
      <c r="E37" s="240" t="s">
        <v>360</v>
      </c>
      <c r="F37" s="241">
        <v>0.82291666666666663</v>
      </c>
      <c r="G37" s="242"/>
      <c r="H37" s="243"/>
      <c r="I37" s="244"/>
      <c r="J37" s="245"/>
      <c r="K37" s="34"/>
    </row>
    <row r="38" spans="1:11" s="35" customFormat="1" ht="22.8" customHeight="1" thickTop="1" x14ac:dyDescent="0.45">
      <c r="A38" s="27">
        <v>1</v>
      </c>
      <c r="B38" s="246" t="s">
        <v>110</v>
      </c>
      <c r="C38" s="247" t="s">
        <v>111</v>
      </c>
      <c r="D38" s="248" t="s">
        <v>323</v>
      </c>
      <c r="E38" s="249" t="s">
        <v>358</v>
      </c>
      <c r="F38" s="250">
        <v>0.70833333333333337</v>
      </c>
      <c r="G38" s="251"/>
      <c r="H38" s="252"/>
      <c r="I38" s="253"/>
      <c r="J38" s="256"/>
      <c r="K38" s="34"/>
    </row>
    <row r="39" spans="1:11" s="35" customFormat="1" ht="22.8" customHeight="1" x14ac:dyDescent="0.45">
      <c r="A39" s="27"/>
      <c r="B39" s="217"/>
      <c r="C39" s="218"/>
      <c r="D39" s="219"/>
      <c r="E39" s="220" t="s">
        <v>361</v>
      </c>
      <c r="F39" s="221">
        <v>0.81597222222222221</v>
      </c>
      <c r="G39" s="222"/>
      <c r="H39" s="223"/>
      <c r="I39" s="224"/>
      <c r="J39" s="225"/>
      <c r="K39" s="34"/>
    </row>
    <row r="40" spans="1:11" s="35" customFormat="1" ht="22.8" customHeight="1" x14ac:dyDescent="0.45">
      <c r="A40" s="38"/>
      <c r="B40" s="217"/>
      <c r="C40" s="218"/>
      <c r="D40" s="219"/>
      <c r="E40" s="220" t="s">
        <v>359</v>
      </c>
      <c r="F40" s="221">
        <v>0.88194444444444453</v>
      </c>
      <c r="G40" s="222"/>
      <c r="H40" s="223"/>
      <c r="I40" s="224"/>
      <c r="J40" s="225"/>
      <c r="K40" s="34"/>
    </row>
    <row r="41" spans="1:11" s="35" customFormat="1" ht="22.8" customHeight="1" thickBot="1" x14ac:dyDescent="0.5">
      <c r="A41" s="38"/>
      <c r="B41" s="237"/>
      <c r="C41" s="238"/>
      <c r="D41" s="239"/>
      <c r="E41" s="240" t="s">
        <v>360</v>
      </c>
      <c r="F41" s="241">
        <v>0.92361111111111116</v>
      </c>
      <c r="G41" s="242"/>
      <c r="H41" s="243"/>
      <c r="I41" s="244"/>
      <c r="J41" s="245"/>
      <c r="K41" s="34"/>
    </row>
    <row r="42" spans="1:11" s="35" customFormat="1" ht="22.8" customHeight="1" thickTop="1" x14ac:dyDescent="0.45">
      <c r="A42" s="38">
        <v>1</v>
      </c>
      <c r="B42" s="246" t="s">
        <v>121</v>
      </c>
      <c r="C42" s="247" t="s">
        <v>122</v>
      </c>
      <c r="D42" s="248" t="s">
        <v>325</v>
      </c>
      <c r="E42" s="249" t="s">
        <v>358</v>
      </c>
      <c r="F42" s="250">
        <v>0.375</v>
      </c>
      <c r="G42" s="251"/>
      <c r="H42" s="252"/>
      <c r="I42" s="253"/>
      <c r="J42" s="256"/>
      <c r="K42" s="34"/>
    </row>
    <row r="43" spans="1:11" s="35" customFormat="1" ht="22.8" customHeight="1" x14ac:dyDescent="0.45">
      <c r="A43" s="38"/>
      <c r="B43" s="217"/>
      <c r="C43" s="218"/>
      <c r="D43" s="219"/>
      <c r="E43" s="220" t="s">
        <v>361</v>
      </c>
      <c r="F43" s="221">
        <v>0.45833333333333331</v>
      </c>
      <c r="G43" s="222"/>
      <c r="H43" s="223"/>
      <c r="I43" s="224"/>
      <c r="J43" s="225"/>
      <c r="K43" s="34"/>
    </row>
    <row r="44" spans="1:11" s="35" customFormat="1" ht="22.8" customHeight="1" x14ac:dyDescent="0.45">
      <c r="A44" s="38"/>
      <c r="B44" s="217"/>
      <c r="C44" s="218"/>
      <c r="D44" s="219"/>
      <c r="E44" s="220" t="s">
        <v>359</v>
      </c>
      <c r="F44" s="221">
        <v>0.5</v>
      </c>
      <c r="G44" s="222"/>
      <c r="H44" s="223"/>
      <c r="I44" s="224"/>
      <c r="J44" s="225"/>
      <c r="K44" s="34"/>
    </row>
    <row r="45" spans="1:11" s="35" customFormat="1" ht="22.8" customHeight="1" thickBot="1" x14ac:dyDescent="0.5">
      <c r="A45" s="38"/>
      <c r="B45" s="217"/>
      <c r="C45" s="218"/>
      <c r="D45" s="219"/>
      <c r="E45" s="226" t="s">
        <v>360</v>
      </c>
      <c r="F45" s="227">
        <v>0.54166666666666663</v>
      </c>
      <c r="G45" s="228"/>
      <c r="H45" s="229"/>
      <c r="I45" s="230"/>
      <c r="J45" s="225"/>
      <c r="K45" s="34"/>
    </row>
    <row r="46" spans="1:11" s="35" customFormat="1" ht="22.8" customHeight="1" thickTop="1" x14ac:dyDescent="0.15">
      <c r="A46" s="38"/>
      <c r="B46" s="217"/>
      <c r="C46" s="218"/>
      <c r="D46" s="219"/>
      <c r="E46" s="231" t="s">
        <v>358</v>
      </c>
      <c r="F46" s="232">
        <v>0.61458333333333337</v>
      </c>
      <c r="G46" s="233"/>
      <c r="H46" s="234"/>
      <c r="I46" s="235"/>
      <c r="J46" s="257"/>
      <c r="K46" s="34"/>
    </row>
    <row r="47" spans="1:11" s="35" customFormat="1" ht="22.8" customHeight="1" x14ac:dyDescent="0.15">
      <c r="A47" s="38"/>
      <c r="B47" s="217"/>
      <c r="C47" s="218"/>
      <c r="D47" s="219"/>
      <c r="E47" s="220" t="s">
        <v>361</v>
      </c>
      <c r="F47" s="221">
        <v>0.69791666666666663</v>
      </c>
      <c r="G47" s="222"/>
      <c r="H47" s="223"/>
      <c r="I47" s="224"/>
      <c r="J47" s="255"/>
      <c r="K47" s="34"/>
    </row>
    <row r="48" spans="1:11" s="35" customFormat="1" ht="22.8" customHeight="1" x14ac:dyDescent="0.15">
      <c r="A48" s="38"/>
      <c r="B48" s="217"/>
      <c r="C48" s="218"/>
      <c r="D48" s="219"/>
      <c r="E48" s="220" t="s">
        <v>359</v>
      </c>
      <c r="F48" s="221">
        <v>0.73958333333333337</v>
      </c>
      <c r="G48" s="222"/>
      <c r="H48" s="223"/>
      <c r="I48" s="224"/>
      <c r="J48" s="255"/>
      <c r="K48" s="34"/>
    </row>
    <row r="49" spans="1:11" s="35" customFormat="1" ht="22.8" customHeight="1" thickBot="1" x14ac:dyDescent="0.2">
      <c r="A49" s="36"/>
      <c r="B49" s="217"/>
      <c r="C49" s="218"/>
      <c r="D49" s="219"/>
      <c r="E49" s="226" t="s">
        <v>360</v>
      </c>
      <c r="F49" s="227">
        <v>0.78125</v>
      </c>
      <c r="G49" s="228"/>
      <c r="H49" s="229"/>
      <c r="I49" s="230"/>
      <c r="J49" s="255"/>
      <c r="K49" s="34"/>
    </row>
    <row r="50" spans="1:11" s="35" customFormat="1" ht="22.8" customHeight="1" thickTop="1" x14ac:dyDescent="0.15">
      <c r="A50" s="27"/>
      <c r="B50" s="217"/>
      <c r="C50" s="218"/>
      <c r="D50" s="219"/>
      <c r="E50" s="231" t="s">
        <v>358</v>
      </c>
      <c r="F50" s="232">
        <v>0.85416666666666663</v>
      </c>
      <c r="G50" s="233"/>
      <c r="H50" s="234"/>
      <c r="I50" s="235"/>
      <c r="J50" s="257"/>
      <c r="K50" s="34"/>
    </row>
    <row r="51" spans="1:11" s="35" customFormat="1" ht="22.8" customHeight="1" x14ac:dyDescent="0.15">
      <c r="A51" s="27"/>
      <c r="B51" s="217"/>
      <c r="C51" s="218"/>
      <c r="D51" s="219"/>
      <c r="E51" s="220" t="s">
        <v>359</v>
      </c>
      <c r="F51" s="221">
        <v>0.88541666666666663</v>
      </c>
      <c r="G51" s="222"/>
      <c r="H51" s="223"/>
      <c r="I51" s="224"/>
      <c r="J51" s="255"/>
      <c r="K51" s="34"/>
    </row>
    <row r="52" spans="1:11" s="35" customFormat="1" ht="22.8" customHeight="1" thickBot="1" x14ac:dyDescent="0.5">
      <c r="A52" s="38"/>
      <c r="B52" s="237"/>
      <c r="C52" s="238"/>
      <c r="D52" s="239"/>
      <c r="E52" s="240" t="s">
        <v>360</v>
      </c>
      <c r="F52" s="241">
        <v>0.92708333333333337</v>
      </c>
      <c r="G52" s="242"/>
      <c r="H52" s="243"/>
      <c r="I52" s="244"/>
      <c r="J52" s="245"/>
      <c r="K52" s="34"/>
    </row>
    <row r="53" spans="1:11" s="35" customFormat="1" ht="22.8" customHeight="1" thickTop="1" x14ac:dyDescent="0.45">
      <c r="A53" s="38">
        <v>1</v>
      </c>
      <c r="B53" s="246" t="s">
        <v>131</v>
      </c>
      <c r="C53" s="247" t="s">
        <v>132</v>
      </c>
      <c r="D53" s="248" t="s">
        <v>325</v>
      </c>
      <c r="E53" s="249" t="s">
        <v>358</v>
      </c>
      <c r="F53" s="250">
        <v>0.375</v>
      </c>
      <c r="G53" s="251"/>
      <c r="H53" s="252"/>
      <c r="I53" s="253"/>
      <c r="J53" s="256"/>
      <c r="K53" s="34"/>
    </row>
    <row r="54" spans="1:11" s="35" customFormat="1" ht="22.8" customHeight="1" x14ac:dyDescent="0.45">
      <c r="A54" s="38"/>
      <c r="B54" s="217"/>
      <c r="C54" s="218"/>
      <c r="D54" s="219"/>
      <c r="E54" s="220" t="s">
        <v>361</v>
      </c>
      <c r="F54" s="221">
        <v>0.45833333333333331</v>
      </c>
      <c r="G54" s="222"/>
      <c r="H54" s="223"/>
      <c r="I54" s="224"/>
      <c r="J54" s="225"/>
      <c r="K54" s="34"/>
    </row>
    <row r="55" spans="1:11" s="35" customFormat="1" ht="22.8" customHeight="1" x14ac:dyDescent="0.15">
      <c r="A55" s="36"/>
      <c r="B55" s="217"/>
      <c r="C55" s="218"/>
      <c r="D55" s="219"/>
      <c r="E55" s="220" t="s">
        <v>359</v>
      </c>
      <c r="F55" s="221">
        <v>0.5</v>
      </c>
      <c r="G55" s="222"/>
      <c r="H55" s="223"/>
      <c r="I55" s="224"/>
      <c r="J55" s="255"/>
      <c r="K55" s="34"/>
    </row>
    <row r="56" spans="1:11" s="35" customFormat="1" ht="22.8" customHeight="1" thickBot="1" x14ac:dyDescent="0.2">
      <c r="A56" s="36"/>
      <c r="B56" s="217"/>
      <c r="C56" s="218"/>
      <c r="D56" s="219"/>
      <c r="E56" s="226" t="s">
        <v>360</v>
      </c>
      <c r="F56" s="227">
        <v>0.54166666666666663</v>
      </c>
      <c r="G56" s="228"/>
      <c r="H56" s="229"/>
      <c r="I56" s="230"/>
      <c r="J56" s="255"/>
      <c r="K56" s="34"/>
    </row>
    <row r="57" spans="1:11" s="35" customFormat="1" ht="22.8" customHeight="1" thickTop="1" x14ac:dyDescent="0.15">
      <c r="A57" s="36"/>
      <c r="B57" s="217"/>
      <c r="C57" s="218"/>
      <c r="D57" s="219"/>
      <c r="E57" s="231" t="s">
        <v>358</v>
      </c>
      <c r="F57" s="232">
        <v>0.61458333333333337</v>
      </c>
      <c r="G57" s="233"/>
      <c r="H57" s="234"/>
      <c r="I57" s="235"/>
      <c r="J57" s="257"/>
      <c r="K57" s="34"/>
    </row>
    <row r="58" spans="1:11" s="35" customFormat="1" ht="22.8" customHeight="1" x14ac:dyDescent="0.45">
      <c r="A58" s="36"/>
      <c r="B58" s="217"/>
      <c r="C58" s="218"/>
      <c r="D58" s="219"/>
      <c r="E58" s="220" t="s">
        <v>361</v>
      </c>
      <c r="F58" s="221">
        <v>0.69791666666666663</v>
      </c>
      <c r="G58" s="222"/>
      <c r="H58" s="223"/>
      <c r="I58" s="224"/>
      <c r="J58" s="225"/>
      <c r="K58" s="34"/>
    </row>
    <row r="59" spans="1:11" s="35" customFormat="1" ht="22.8" customHeight="1" x14ac:dyDescent="0.45">
      <c r="A59" s="36"/>
      <c r="B59" s="217"/>
      <c r="C59" s="218"/>
      <c r="D59" s="219"/>
      <c r="E59" s="220" t="s">
        <v>359</v>
      </c>
      <c r="F59" s="221">
        <v>0.73958333333333337</v>
      </c>
      <c r="G59" s="222"/>
      <c r="H59" s="223"/>
      <c r="I59" s="224"/>
      <c r="J59" s="225"/>
      <c r="K59" s="34"/>
    </row>
    <row r="60" spans="1:11" s="35" customFormat="1" ht="22.8" customHeight="1" thickBot="1" x14ac:dyDescent="0.5">
      <c r="A60" s="36"/>
      <c r="B60" s="217"/>
      <c r="C60" s="218"/>
      <c r="D60" s="219"/>
      <c r="E60" s="226" t="s">
        <v>360</v>
      </c>
      <c r="F60" s="227">
        <v>0.78125</v>
      </c>
      <c r="G60" s="228"/>
      <c r="H60" s="229"/>
      <c r="I60" s="230"/>
      <c r="J60" s="225"/>
      <c r="K60" s="34"/>
    </row>
    <row r="61" spans="1:11" s="35" customFormat="1" ht="22.8" customHeight="1" thickTop="1" x14ac:dyDescent="0.45">
      <c r="A61" s="36"/>
      <c r="B61" s="217"/>
      <c r="C61" s="218"/>
      <c r="D61" s="219"/>
      <c r="E61" s="231" t="s">
        <v>358</v>
      </c>
      <c r="F61" s="232">
        <v>0.85416666666666663</v>
      </c>
      <c r="G61" s="233"/>
      <c r="H61" s="234"/>
      <c r="I61" s="235"/>
      <c r="J61" s="258"/>
    </row>
    <row r="62" spans="1:11" s="35" customFormat="1" ht="22.8" customHeight="1" x14ac:dyDescent="0.45">
      <c r="A62" s="36"/>
      <c r="B62" s="217"/>
      <c r="C62" s="218"/>
      <c r="D62" s="219"/>
      <c r="E62" s="220" t="s">
        <v>359</v>
      </c>
      <c r="F62" s="221">
        <v>0.88541666666666663</v>
      </c>
      <c r="G62" s="222"/>
      <c r="H62" s="223"/>
      <c r="I62" s="224"/>
      <c r="J62" s="259"/>
    </row>
    <row r="63" spans="1:11" s="35" customFormat="1" ht="22.8" customHeight="1" thickBot="1" x14ac:dyDescent="0.5">
      <c r="A63" s="36"/>
      <c r="B63" s="237"/>
      <c r="C63" s="238"/>
      <c r="D63" s="239"/>
      <c r="E63" s="240" t="s">
        <v>360</v>
      </c>
      <c r="F63" s="241">
        <v>0.92708333333333337</v>
      </c>
      <c r="G63" s="242"/>
      <c r="H63" s="243"/>
      <c r="I63" s="244"/>
      <c r="J63" s="260"/>
    </row>
    <row r="64" spans="1:11" s="35" customFormat="1" ht="22.8" customHeight="1" thickTop="1" x14ac:dyDescent="0.45">
      <c r="A64" s="36">
        <v>1</v>
      </c>
      <c r="B64" s="246" t="s">
        <v>143</v>
      </c>
      <c r="C64" s="247" t="s">
        <v>144</v>
      </c>
      <c r="D64" s="261" t="s">
        <v>329</v>
      </c>
      <c r="E64" s="249" t="s">
        <v>358</v>
      </c>
      <c r="F64" s="250">
        <v>0.39583333333333331</v>
      </c>
      <c r="G64" s="251"/>
      <c r="H64" s="252"/>
      <c r="I64" s="253"/>
      <c r="J64" s="262"/>
    </row>
    <row r="65" spans="1:11" s="35" customFormat="1" ht="22.8" customHeight="1" x14ac:dyDescent="0.45">
      <c r="A65" s="36"/>
      <c r="B65" s="217"/>
      <c r="C65" s="218"/>
      <c r="D65" s="263"/>
      <c r="E65" s="220" t="s">
        <v>361</v>
      </c>
      <c r="F65" s="221">
        <v>0.49652777777777773</v>
      </c>
      <c r="G65" s="222"/>
      <c r="H65" s="223"/>
      <c r="I65" s="224"/>
      <c r="J65" s="259"/>
    </row>
    <row r="66" spans="1:11" s="35" customFormat="1" ht="22.8" customHeight="1" x14ac:dyDescent="0.45">
      <c r="A66" s="36"/>
      <c r="B66" s="217"/>
      <c r="C66" s="218"/>
      <c r="D66" s="263"/>
      <c r="E66" s="220" t="s">
        <v>359</v>
      </c>
      <c r="F66" s="221">
        <v>0.55555555555555558</v>
      </c>
      <c r="G66" s="264"/>
      <c r="H66" s="223"/>
      <c r="I66" s="224"/>
      <c r="J66" s="259"/>
    </row>
    <row r="67" spans="1:11" s="35" customFormat="1" ht="22.8" customHeight="1" thickBot="1" x14ac:dyDescent="0.5">
      <c r="A67" s="36"/>
      <c r="B67" s="217"/>
      <c r="C67" s="218"/>
      <c r="D67" s="263"/>
      <c r="E67" s="226" t="s">
        <v>360</v>
      </c>
      <c r="F67" s="227">
        <v>0.59722222222222221</v>
      </c>
      <c r="G67" s="228"/>
      <c r="H67" s="229"/>
      <c r="I67" s="230"/>
      <c r="J67" s="259"/>
    </row>
    <row r="68" spans="1:11" s="35" customFormat="1" ht="22.8" customHeight="1" thickTop="1" x14ac:dyDescent="0.45">
      <c r="A68" s="36"/>
      <c r="B68" s="217"/>
      <c r="C68" s="218"/>
      <c r="D68" s="263"/>
      <c r="E68" s="231" t="s">
        <v>358</v>
      </c>
      <c r="F68" s="232">
        <v>0.66666666666666663</v>
      </c>
      <c r="G68" s="233"/>
      <c r="H68" s="234"/>
      <c r="I68" s="235"/>
      <c r="J68" s="258"/>
      <c r="K68" s="42"/>
    </row>
    <row r="69" spans="1:11" s="35" customFormat="1" ht="22.8" customHeight="1" x14ac:dyDescent="0.45">
      <c r="A69" s="36"/>
      <c r="B69" s="217"/>
      <c r="C69" s="218"/>
      <c r="D69" s="263"/>
      <c r="E69" s="220" t="s">
        <v>361</v>
      </c>
      <c r="F69" s="221">
        <v>0.76736111111111116</v>
      </c>
      <c r="G69" s="222"/>
      <c r="H69" s="223"/>
      <c r="I69" s="224"/>
      <c r="J69" s="259"/>
    </row>
    <row r="70" spans="1:11" s="35" customFormat="1" ht="22.8" customHeight="1" x14ac:dyDescent="0.45">
      <c r="A70" s="43"/>
      <c r="B70" s="217"/>
      <c r="C70" s="218"/>
      <c r="D70" s="263"/>
      <c r="E70" s="220" t="s">
        <v>359</v>
      </c>
      <c r="F70" s="221">
        <v>0.82638888888888884</v>
      </c>
      <c r="G70" s="222"/>
      <c r="H70" s="223"/>
      <c r="I70" s="224"/>
      <c r="J70" s="259"/>
    </row>
    <row r="71" spans="1:11" s="35" customFormat="1" ht="22.8" customHeight="1" thickBot="1" x14ac:dyDescent="0.5">
      <c r="A71" s="43"/>
      <c r="B71" s="237"/>
      <c r="C71" s="238"/>
      <c r="D71" s="265"/>
      <c r="E71" s="240" t="s">
        <v>360</v>
      </c>
      <c r="F71" s="241">
        <v>0.86805555555555547</v>
      </c>
      <c r="G71" s="242"/>
      <c r="H71" s="243"/>
      <c r="I71" s="244"/>
      <c r="J71" s="260"/>
    </row>
    <row r="72" spans="1:11" s="35" customFormat="1" ht="22.8" customHeight="1" thickTop="1" x14ac:dyDescent="0.45">
      <c r="A72" s="43">
        <v>1</v>
      </c>
      <c r="B72" s="246" t="s">
        <v>159</v>
      </c>
      <c r="C72" s="247" t="s">
        <v>160</v>
      </c>
      <c r="D72" s="261" t="s">
        <v>332</v>
      </c>
      <c r="E72" s="249" t="s">
        <v>358</v>
      </c>
      <c r="F72" s="250">
        <v>0.45833333333333331</v>
      </c>
      <c r="G72" s="251"/>
      <c r="H72" s="252"/>
      <c r="I72" s="253"/>
      <c r="J72" s="262"/>
    </row>
    <row r="73" spans="1:11" s="35" customFormat="1" ht="22.8" customHeight="1" x14ac:dyDescent="0.45">
      <c r="A73" s="36"/>
      <c r="B73" s="217"/>
      <c r="C73" s="218"/>
      <c r="D73" s="263"/>
      <c r="E73" s="220" t="s">
        <v>361</v>
      </c>
      <c r="F73" s="221">
        <v>0.64583333333333337</v>
      </c>
      <c r="G73" s="222"/>
      <c r="H73" s="223"/>
      <c r="I73" s="224"/>
      <c r="J73" s="266"/>
    </row>
    <row r="74" spans="1:11" s="35" customFormat="1" ht="22.8" customHeight="1" x14ac:dyDescent="0.45">
      <c r="A74" s="36"/>
      <c r="B74" s="217"/>
      <c r="C74" s="218"/>
      <c r="D74" s="263"/>
      <c r="E74" s="220" t="s">
        <v>359</v>
      </c>
      <c r="F74" s="221">
        <v>0.79166666666666663</v>
      </c>
      <c r="G74" s="222"/>
      <c r="H74" s="223"/>
      <c r="I74" s="224"/>
      <c r="J74" s="259"/>
    </row>
    <row r="75" spans="1:11" s="35" customFormat="1" ht="22.8" customHeight="1" thickBot="1" x14ac:dyDescent="0.5">
      <c r="A75" s="36"/>
      <c r="B75" s="217"/>
      <c r="C75" s="218"/>
      <c r="D75" s="263"/>
      <c r="E75" s="226" t="s">
        <v>360</v>
      </c>
      <c r="F75" s="227">
        <v>0.83333333333333337</v>
      </c>
      <c r="G75" s="228"/>
      <c r="H75" s="229"/>
      <c r="I75" s="230"/>
      <c r="J75" s="259"/>
    </row>
    <row r="76" spans="1:11" s="35" customFormat="1" ht="22.8" customHeight="1" thickTop="1" x14ac:dyDescent="0.45">
      <c r="A76" s="36"/>
      <c r="B76" s="217"/>
      <c r="C76" s="218"/>
      <c r="D76" s="263"/>
      <c r="E76" s="231" t="s">
        <v>358</v>
      </c>
      <c r="F76" s="232">
        <v>0.45833333333333331</v>
      </c>
      <c r="G76" s="233"/>
      <c r="H76" s="234"/>
      <c r="I76" s="235"/>
      <c r="J76" s="258"/>
    </row>
    <row r="77" spans="1:11" s="35" customFormat="1" ht="22.8" customHeight="1" x14ac:dyDescent="0.45">
      <c r="A77" s="36"/>
      <c r="B77" s="217"/>
      <c r="C77" s="218"/>
      <c r="D77" s="263"/>
      <c r="E77" s="220" t="s">
        <v>361</v>
      </c>
      <c r="F77" s="221">
        <v>0.64583333333333337</v>
      </c>
      <c r="G77" s="222"/>
      <c r="H77" s="223"/>
      <c r="I77" s="224"/>
      <c r="J77" s="259"/>
    </row>
    <row r="78" spans="1:11" s="35" customFormat="1" ht="22.8" customHeight="1" x14ac:dyDescent="0.45">
      <c r="A78" s="36"/>
      <c r="B78" s="217"/>
      <c r="C78" s="218"/>
      <c r="D78" s="263"/>
      <c r="E78" s="220" t="s">
        <v>359</v>
      </c>
      <c r="F78" s="221">
        <v>0.79166666666666663</v>
      </c>
      <c r="G78" s="222"/>
      <c r="H78" s="223"/>
      <c r="I78" s="224"/>
      <c r="J78" s="259"/>
    </row>
    <row r="79" spans="1:11" s="35" customFormat="1" ht="22.8" customHeight="1" thickBot="1" x14ac:dyDescent="0.5">
      <c r="A79" s="36"/>
      <c r="B79" s="217"/>
      <c r="C79" s="218"/>
      <c r="D79" s="263"/>
      <c r="E79" s="226" t="s">
        <v>360</v>
      </c>
      <c r="F79" s="227">
        <v>0.83333333333333337</v>
      </c>
      <c r="G79" s="228"/>
      <c r="H79" s="229"/>
      <c r="I79" s="230"/>
      <c r="J79" s="259"/>
    </row>
    <row r="80" spans="1:11" s="35" customFormat="1" ht="22.8" customHeight="1" thickTop="1" x14ac:dyDescent="0.45">
      <c r="A80" s="36"/>
      <c r="B80" s="217"/>
      <c r="C80" s="218"/>
      <c r="D80" s="263"/>
      <c r="E80" s="231" t="s">
        <v>358</v>
      </c>
      <c r="F80" s="232">
        <v>0.45833333333333331</v>
      </c>
      <c r="G80" s="233"/>
      <c r="H80" s="234"/>
      <c r="I80" s="235"/>
      <c r="J80" s="258"/>
    </row>
    <row r="81" spans="1:10" s="35" customFormat="1" ht="22.8" customHeight="1" x14ac:dyDescent="0.45">
      <c r="A81" s="36"/>
      <c r="B81" s="217"/>
      <c r="C81" s="218"/>
      <c r="D81" s="263"/>
      <c r="E81" s="220" t="s">
        <v>361</v>
      </c>
      <c r="F81" s="221">
        <v>0.64583333333333337</v>
      </c>
      <c r="G81" s="222"/>
      <c r="H81" s="223"/>
      <c r="I81" s="224"/>
      <c r="J81" s="259"/>
    </row>
    <row r="82" spans="1:10" ht="22.8" customHeight="1" x14ac:dyDescent="0.45">
      <c r="B82" s="217"/>
      <c r="C82" s="218"/>
      <c r="D82" s="263"/>
      <c r="E82" s="267" t="s">
        <v>359</v>
      </c>
      <c r="F82" s="268">
        <v>0.79166666666666663</v>
      </c>
      <c r="G82" s="269"/>
      <c r="H82" s="270"/>
      <c r="I82" s="271"/>
      <c r="J82" s="272"/>
    </row>
    <row r="83" spans="1:10" ht="22.8" customHeight="1" thickBot="1" x14ac:dyDescent="0.5">
      <c r="B83" s="217"/>
      <c r="C83" s="218"/>
      <c r="D83" s="263"/>
      <c r="E83" s="273" t="s">
        <v>360</v>
      </c>
      <c r="F83" s="274">
        <v>0.83333333333333337</v>
      </c>
      <c r="G83" s="275"/>
      <c r="H83" s="276"/>
      <c r="I83" s="277"/>
      <c r="J83" s="272"/>
    </row>
    <row r="84" spans="1:10" ht="22.8" customHeight="1" thickTop="1" x14ac:dyDescent="0.45">
      <c r="B84" s="217"/>
      <c r="C84" s="218"/>
      <c r="D84" s="263"/>
      <c r="E84" s="278" t="s">
        <v>358</v>
      </c>
      <c r="F84" s="279">
        <v>0.45833333333333331</v>
      </c>
      <c r="G84" s="280"/>
      <c r="H84" s="281"/>
      <c r="I84" s="282"/>
      <c r="J84" s="283"/>
    </row>
    <row r="85" spans="1:10" ht="22.8" customHeight="1" x14ac:dyDescent="0.45">
      <c r="B85" s="217"/>
      <c r="C85" s="218"/>
      <c r="D85" s="263"/>
      <c r="E85" s="267" t="s">
        <v>361</v>
      </c>
      <c r="F85" s="268">
        <v>0.64583333333333337</v>
      </c>
      <c r="G85" s="269"/>
      <c r="H85" s="270"/>
      <c r="I85" s="271"/>
      <c r="J85" s="272"/>
    </row>
    <row r="86" spans="1:10" ht="22.8" customHeight="1" x14ac:dyDescent="0.45">
      <c r="B86" s="217"/>
      <c r="C86" s="218"/>
      <c r="D86" s="263"/>
      <c r="E86" s="267" t="s">
        <v>359</v>
      </c>
      <c r="F86" s="268">
        <v>0.79166666666666663</v>
      </c>
      <c r="G86" s="269"/>
      <c r="H86" s="270"/>
      <c r="I86" s="271"/>
      <c r="J86" s="272"/>
    </row>
    <row r="87" spans="1:10" ht="22.8" customHeight="1" thickBot="1" x14ac:dyDescent="0.5">
      <c r="B87" s="237"/>
      <c r="C87" s="238"/>
      <c r="D87" s="265"/>
      <c r="E87" s="284" t="s">
        <v>360</v>
      </c>
      <c r="F87" s="285">
        <v>0.83333333333333337</v>
      </c>
      <c r="G87" s="286"/>
      <c r="H87" s="287"/>
      <c r="I87" s="288"/>
      <c r="J87" s="289"/>
    </row>
    <row r="88" spans="1:10" ht="22.8" customHeight="1" thickTop="1" x14ac:dyDescent="0.45">
      <c r="A88" s="1">
        <v>1</v>
      </c>
      <c r="B88" s="290" t="s">
        <v>170</v>
      </c>
      <c r="C88" s="291" t="s">
        <v>171</v>
      </c>
      <c r="D88" s="292" t="s">
        <v>333</v>
      </c>
      <c r="E88" s="293" t="s">
        <v>358</v>
      </c>
      <c r="F88" s="294">
        <v>0.27083333333333331</v>
      </c>
      <c r="G88" s="295"/>
      <c r="H88" s="296"/>
      <c r="I88" s="297"/>
      <c r="J88" s="298"/>
    </row>
    <row r="89" spans="1:10" ht="22.8" customHeight="1" x14ac:dyDescent="0.45">
      <c r="B89" s="299"/>
      <c r="C89" s="300"/>
      <c r="D89" s="301"/>
      <c r="E89" s="267" t="s">
        <v>361</v>
      </c>
      <c r="F89" s="268">
        <v>0.36458333333333331</v>
      </c>
      <c r="G89" s="269"/>
      <c r="H89" s="270"/>
      <c r="I89" s="271"/>
      <c r="J89" s="272"/>
    </row>
    <row r="90" spans="1:10" ht="22.8" customHeight="1" x14ac:dyDescent="0.45">
      <c r="B90" s="299"/>
      <c r="C90" s="300"/>
      <c r="D90" s="301"/>
      <c r="E90" s="267" t="s">
        <v>359</v>
      </c>
      <c r="F90" s="268">
        <v>0.41666666666666669</v>
      </c>
      <c r="G90" s="269"/>
      <c r="H90" s="270"/>
      <c r="I90" s="271"/>
      <c r="J90" s="272"/>
    </row>
    <row r="91" spans="1:10" ht="22.8" customHeight="1" thickBot="1" x14ac:dyDescent="0.5">
      <c r="B91" s="302"/>
      <c r="C91" s="303"/>
      <c r="D91" s="304"/>
      <c r="E91" s="284" t="s">
        <v>360</v>
      </c>
      <c r="F91" s="285">
        <v>0.45833333333333331</v>
      </c>
      <c r="G91" s="286"/>
      <c r="H91" s="287"/>
      <c r="I91" s="288"/>
      <c r="J91" s="289"/>
    </row>
    <row r="92" spans="1:10" ht="22.8" customHeight="1" thickTop="1" x14ac:dyDescent="0.45">
      <c r="A92" s="1">
        <v>1</v>
      </c>
      <c r="B92" s="290" t="s">
        <v>188</v>
      </c>
      <c r="C92" s="291" t="s">
        <v>189</v>
      </c>
      <c r="D92" s="292" t="s">
        <v>335</v>
      </c>
      <c r="E92" s="293" t="s">
        <v>358</v>
      </c>
      <c r="F92" s="294">
        <v>0.39583333333333331</v>
      </c>
      <c r="G92" s="295"/>
      <c r="H92" s="296"/>
      <c r="I92" s="297"/>
      <c r="J92" s="298"/>
    </row>
    <row r="93" spans="1:10" ht="22.8" customHeight="1" x14ac:dyDescent="0.45">
      <c r="B93" s="299"/>
      <c r="C93" s="300"/>
      <c r="D93" s="301"/>
      <c r="E93" s="267" t="s">
        <v>359</v>
      </c>
      <c r="F93" s="268">
        <v>0.46527777777777773</v>
      </c>
      <c r="G93" s="269"/>
      <c r="H93" s="270"/>
      <c r="I93" s="271"/>
      <c r="J93" s="272"/>
    </row>
    <row r="94" spans="1:10" ht="22.8" customHeight="1" thickBot="1" x14ac:dyDescent="0.5">
      <c r="B94" s="302"/>
      <c r="C94" s="303"/>
      <c r="D94" s="304"/>
      <c r="E94" s="284" t="s">
        <v>360</v>
      </c>
      <c r="F94" s="285">
        <v>0.50694444444444442</v>
      </c>
      <c r="G94" s="286"/>
      <c r="H94" s="287"/>
      <c r="I94" s="288"/>
      <c r="J94" s="289"/>
    </row>
    <row r="95" spans="1:10" ht="22.8" customHeight="1" thickTop="1" x14ac:dyDescent="0.45">
      <c r="A95" s="1">
        <v>1</v>
      </c>
      <c r="B95" s="290" t="s">
        <v>200</v>
      </c>
      <c r="C95" s="291" t="s">
        <v>201</v>
      </c>
      <c r="D95" s="292" t="s">
        <v>337</v>
      </c>
      <c r="E95" s="293" t="s">
        <v>358</v>
      </c>
      <c r="F95" s="294">
        <v>0.375</v>
      </c>
      <c r="G95" s="295"/>
      <c r="H95" s="296"/>
      <c r="I95" s="297"/>
      <c r="J95" s="298"/>
    </row>
    <row r="96" spans="1:10" ht="22.8" customHeight="1" x14ac:dyDescent="0.45">
      <c r="B96" s="299"/>
      <c r="C96" s="300"/>
      <c r="D96" s="301"/>
      <c r="E96" s="267" t="s">
        <v>361</v>
      </c>
      <c r="F96" s="268">
        <v>0.4982638888888889</v>
      </c>
      <c r="G96" s="269"/>
      <c r="H96" s="270"/>
      <c r="I96" s="271"/>
      <c r="J96" s="272"/>
    </row>
    <row r="97" spans="1:10" ht="22.8" customHeight="1" x14ac:dyDescent="0.45">
      <c r="B97" s="299"/>
      <c r="C97" s="300"/>
      <c r="D97" s="301"/>
      <c r="E97" s="267" t="s">
        <v>359</v>
      </c>
      <c r="F97" s="268">
        <v>0.57986111111111105</v>
      </c>
      <c r="G97" s="269"/>
      <c r="H97" s="270"/>
      <c r="I97" s="271"/>
      <c r="J97" s="272"/>
    </row>
    <row r="98" spans="1:10" ht="22.8" customHeight="1" thickBot="1" x14ac:dyDescent="0.5">
      <c r="B98" s="299"/>
      <c r="C98" s="300"/>
      <c r="D98" s="301"/>
      <c r="E98" s="273" t="s">
        <v>360</v>
      </c>
      <c r="F98" s="274">
        <v>0.62152777777777779</v>
      </c>
      <c r="G98" s="275"/>
      <c r="H98" s="276"/>
      <c r="I98" s="277"/>
      <c r="J98" s="272"/>
    </row>
    <row r="99" spans="1:10" ht="22.8" customHeight="1" thickTop="1" x14ac:dyDescent="0.45">
      <c r="B99" s="299"/>
      <c r="C99" s="300"/>
      <c r="D99" s="301"/>
      <c r="E99" s="278" t="s">
        <v>358</v>
      </c>
      <c r="F99" s="279">
        <v>0.72916666666666663</v>
      </c>
      <c r="G99" s="280"/>
      <c r="H99" s="281"/>
      <c r="I99" s="282"/>
      <c r="J99" s="283"/>
    </row>
    <row r="100" spans="1:10" ht="22.8" customHeight="1" x14ac:dyDescent="0.45">
      <c r="B100" s="299"/>
      <c r="C100" s="300"/>
      <c r="D100" s="301"/>
      <c r="E100" s="267" t="s">
        <v>359</v>
      </c>
      <c r="F100" s="268">
        <v>0.80208333333333337</v>
      </c>
      <c r="G100" s="269"/>
      <c r="H100" s="270"/>
      <c r="I100" s="271"/>
      <c r="J100" s="272"/>
    </row>
    <row r="101" spans="1:10" ht="22.8" customHeight="1" thickBot="1" x14ac:dyDescent="0.5">
      <c r="B101" s="302"/>
      <c r="C101" s="303"/>
      <c r="D101" s="304"/>
      <c r="E101" s="284" t="s">
        <v>360</v>
      </c>
      <c r="F101" s="285">
        <v>0.84375</v>
      </c>
      <c r="G101" s="286"/>
      <c r="H101" s="287"/>
      <c r="I101" s="288"/>
      <c r="J101" s="289"/>
    </row>
    <row r="102" spans="1:10" ht="22.8" customHeight="1" thickTop="1" x14ac:dyDescent="0.45">
      <c r="A102" s="1">
        <v>1</v>
      </c>
      <c r="B102" s="290" t="s">
        <v>218</v>
      </c>
      <c r="C102" s="291" t="s">
        <v>219</v>
      </c>
      <c r="D102" s="292" t="s">
        <v>339</v>
      </c>
      <c r="E102" s="293" t="s">
        <v>358</v>
      </c>
      <c r="F102" s="294">
        <v>0.375</v>
      </c>
      <c r="G102" s="295"/>
      <c r="H102" s="296"/>
      <c r="I102" s="297"/>
      <c r="J102" s="298"/>
    </row>
    <row r="103" spans="1:10" ht="22.8" customHeight="1" x14ac:dyDescent="0.45">
      <c r="B103" s="299"/>
      <c r="C103" s="300"/>
      <c r="D103" s="301"/>
      <c r="E103" s="267" t="s">
        <v>359</v>
      </c>
      <c r="F103" s="268">
        <v>0.44097222222222227</v>
      </c>
      <c r="G103" s="269"/>
      <c r="H103" s="270"/>
      <c r="I103" s="271"/>
      <c r="J103" s="272"/>
    </row>
    <row r="104" spans="1:10" ht="22.8" customHeight="1" thickBot="1" x14ac:dyDescent="0.5">
      <c r="B104" s="299"/>
      <c r="C104" s="300"/>
      <c r="D104" s="301"/>
      <c r="E104" s="273" t="s">
        <v>360</v>
      </c>
      <c r="F104" s="274">
        <v>0.4826388888888889</v>
      </c>
      <c r="G104" s="275"/>
      <c r="H104" s="276"/>
      <c r="I104" s="277"/>
      <c r="J104" s="272"/>
    </row>
    <row r="105" spans="1:10" ht="22.8" customHeight="1" thickTop="1" x14ac:dyDescent="0.45">
      <c r="B105" s="299"/>
      <c r="C105" s="300"/>
      <c r="D105" s="301"/>
      <c r="E105" s="278" t="s">
        <v>358</v>
      </c>
      <c r="F105" s="279">
        <v>0.70833333333333337</v>
      </c>
      <c r="G105" s="280"/>
      <c r="H105" s="281"/>
      <c r="I105" s="282"/>
      <c r="J105" s="283"/>
    </row>
    <row r="106" spans="1:10" ht="22.8" customHeight="1" x14ac:dyDescent="0.45">
      <c r="B106" s="299"/>
      <c r="C106" s="300"/>
      <c r="D106" s="301"/>
      <c r="E106" s="267" t="s">
        <v>361</v>
      </c>
      <c r="F106" s="268">
        <v>0.78472222222222221</v>
      </c>
      <c r="G106" s="269"/>
      <c r="H106" s="270"/>
      <c r="I106" s="271"/>
      <c r="J106" s="272"/>
    </row>
    <row r="107" spans="1:10" ht="22.8" customHeight="1" x14ac:dyDescent="0.45">
      <c r="B107" s="299"/>
      <c r="C107" s="300"/>
      <c r="D107" s="301"/>
      <c r="E107" s="267" t="s">
        <v>359</v>
      </c>
      <c r="F107" s="268">
        <v>0.81944444444444453</v>
      </c>
      <c r="G107" s="269"/>
      <c r="H107" s="270"/>
      <c r="I107" s="271"/>
      <c r="J107" s="272"/>
    </row>
    <row r="108" spans="1:10" ht="22.8" customHeight="1" thickBot="1" x14ac:dyDescent="0.5">
      <c r="B108" s="302"/>
      <c r="C108" s="303"/>
      <c r="D108" s="304"/>
      <c r="E108" s="284" t="s">
        <v>360</v>
      </c>
      <c r="F108" s="285">
        <v>0.86111111111111116</v>
      </c>
      <c r="G108" s="286"/>
      <c r="H108" s="287"/>
      <c r="I108" s="288"/>
      <c r="J108" s="289"/>
    </row>
    <row r="109" spans="1:10" ht="22.8" customHeight="1" thickTop="1" x14ac:dyDescent="0.45">
      <c r="A109" s="1">
        <v>1</v>
      </c>
      <c r="B109" s="290" t="s">
        <v>236</v>
      </c>
      <c r="C109" s="291" t="s">
        <v>237</v>
      </c>
      <c r="D109" s="292" t="s">
        <v>342</v>
      </c>
      <c r="E109" s="293" t="s">
        <v>358</v>
      </c>
      <c r="F109" s="294">
        <v>0.41666666666666669</v>
      </c>
      <c r="G109" s="295"/>
      <c r="H109" s="296"/>
      <c r="I109" s="297"/>
      <c r="J109" s="298"/>
    </row>
    <row r="110" spans="1:10" ht="22.8" customHeight="1" x14ac:dyDescent="0.45">
      <c r="B110" s="299"/>
      <c r="C110" s="300"/>
      <c r="D110" s="301"/>
      <c r="E110" s="267" t="s">
        <v>359</v>
      </c>
      <c r="F110" s="268">
        <v>0.4375</v>
      </c>
      <c r="G110" s="269"/>
      <c r="H110" s="270"/>
      <c r="I110" s="271"/>
      <c r="J110" s="272"/>
    </row>
    <row r="111" spans="1:10" ht="22.8" customHeight="1" thickBot="1" x14ac:dyDescent="0.5">
      <c r="B111" s="299"/>
      <c r="C111" s="300"/>
      <c r="D111" s="301"/>
      <c r="E111" s="273" t="s">
        <v>360</v>
      </c>
      <c r="F111" s="274">
        <v>0.47916666666666669</v>
      </c>
      <c r="G111" s="275"/>
      <c r="H111" s="276"/>
      <c r="I111" s="277"/>
      <c r="J111" s="272"/>
    </row>
    <row r="112" spans="1:10" ht="22.8" customHeight="1" thickTop="1" x14ac:dyDescent="0.45">
      <c r="B112" s="299"/>
      <c r="C112" s="300"/>
      <c r="D112" s="301"/>
      <c r="E112" s="278" t="s">
        <v>358</v>
      </c>
      <c r="F112" s="279">
        <v>0.58333333333333337</v>
      </c>
      <c r="G112" s="280"/>
      <c r="H112" s="281"/>
      <c r="I112" s="282"/>
      <c r="J112" s="283"/>
    </row>
    <row r="113" spans="1:10" ht="22.8" customHeight="1" x14ac:dyDescent="0.45">
      <c r="B113" s="299"/>
      <c r="C113" s="300"/>
      <c r="D113" s="301"/>
      <c r="E113" s="267" t="s">
        <v>359</v>
      </c>
      <c r="F113" s="268">
        <v>0.60416666666666663</v>
      </c>
      <c r="G113" s="269"/>
      <c r="H113" s="270"/>
      <c r="I113" s="271"/>
      <c r="J113" s="272"/>
    </row>
    <row r="114" spans="1:10" ht="22.8" customHeight="1" thickBot="1" x14ac:dyDescent="0.5">
      <c r="B114" s="299"/>
      <c r="C114" s="300"/>
      <c r="D114" s="301"/>
      <c r="E114" s="273" t="s">
        <v>360</v>
      </c>
      <c r="F114" s="274">
        <v>0.64583333333333337</v>
      </c>
      <c r="G114" s="275"/>
      <c r="H114" s="276"/>
      <c r="I114" s="277"/>
      <c r="J114" s="272"/>
    </row>
    <row r="115" spans="1:10" ht="22.8" customHeight="1" thickTop="1" x14ac:dyDescent="0.45">
      <c r="B115" s="299"/>
      <c r="C115" s="300"/>
      <c r="D115" s="301"/>
      <c r="E115" s="278" t="s">
        <v>358</v>
      </c>
      <c r="F115" s="279">
        <v>0.77083333333333337</v>
      </c>
      <c r="G115" s="280"/>
      <c r="H115" s="281"/>
      <c r="I115" s="282"/>
      <c r="J115" s="283"/>
    </row>
    <row r="116" spans="1:10" ht="22.8" customHeight="1" x14ac:dyDescent="0.45">
      <c r="B116" s="299"/>
      <c r="C116" s="300"/>
      <c r="D116" s="301"/>
      <c r="E116" s="267" t="s">
        <v>361</v>
      </c>
      <c r="F116" s="268">
        <v>0.84375</v>
      </c>
      <c r="G116" s="269"/>
      <c r="H116" s="270"/>
      <c r="I116" s="271"/>
      <c r="J116" s="272"/>
    </row>
    <row r="117" spans="1:10" ht="22.8" customHeight="1" x14ac:dyDescent="0.45">
      <c r="B117" s="299"/>
      <c r="C117" s="300"/>
      <c r="D117" s="301"/>
      <c r="E117" s="267" t="s">
        <v>359</v>
      </c>
      <c r="F117" s="268">
        <v>0.875</v>
      </c>
      <c r="G117" s="269"/>
      <c r="H117" s="270"/>
      <c r="I117" s="271"/>
      <c r="J117" s="272"/>
    </row>
    <row r="118" spans="1:10" ht="22.8" customHeight="1" thickBot="1" x14ac:dyDescent="0.5">
      <c r="B118" s="302"/>
      <c r="C118" s="303"/>
      <c r="D118" s="304"/>
      <c r="E118" s="284" t="s">
        <v>360</v>
      </c>
      <c r="F118" s="285">
        <v>0.91666666666666663</v>
      </c>
      <c r="G118" s="286"/>
      <c r="H118" s="287"/>
      <c r="I118" s="288"/>
      <c r="J118" s="289"/>
    </row>
    <row r="119" spans="1:10" ht="22.8" customHeight="1" thickTop="1" x14ac:dyDescent="0.45">
      <c r="A119" s="1">
        <v>1</v>
      </c>
      <c r="B119" s="290" t="s">
        <v>343</v>
      </c>
      <c r="C119" s="291" t="s">
        <v>251</v>
      </c>
      <c r="D119" s="292" t="s">
        <v>344</v>
      </c>
      <c r="E119" s="293" t="s">
        <v>358</v>
      </c>
      <c r="F119" s="294">
        <v>0.375</v>
      </c>
      <c r="G119" s="295"/>
      <c r="H119" s="296"/>
      <c r="I119" s="297"/>
      <c r="J119" s="298"/>
    </row>
    <row r="120" spans="1:10" ht="22.8" customHeight="1" x14ac:dyDescent="0.45">
      <c r="B120" s="299"/>
      <c r="C120" s="300"/>
      <c r="D120" s="301"/>
      <c r="E120" s="267" t="s">
        <v>359</v>
      </c>
      <c r="F120" s="268">
        <v>0.44791666666666669</v>
      </c>
      <c r="G120" s="269"/>
      <c r="H120" s="270"/>
      <c r="I120" s="271"/>
      <c r="J120" s="272"/>
    </row>
    <row r="121" spans="1:10" ht="22.8" customHeight="1" thickBot="1" x14ac:dyDescent="0.5">
      <c r="B121" s="299"/>
      <c r="C121" s="300"/>
      <c r="D121" s="301"/>
      <c r="E121" s="273" t="s">
        <v>360</v>
      </c>
      <c r="F121" s="274">
        <v>0.48958333333333331</v>
      </c>
      <c r="G121" s="275"/>
      <c r="H121" s="276"/>
      <c r="I121" s="277"/>
      <c r="J121" s="272"/>
    </row>
    <row r="122" spans="1:10" ht="22.8" customHeight="1" thickTop="1" x14ac:dyDescent="0.45">
      <c r="B122" s="299"/>
      <c r="C122" s="300"/>
      <c r="D122" s="301"/>
      <c r="E122" s="278" t="s">
        <v>358</v>
      </c>
      <c r="F122" s="279">
        <v>0.55208333333333337</v>
      </c>
      <c r="G122" s="280"/>
      <c r="H122" s="281"/>
      <c r="I122" s="282"/>
      <c r="J122" s="283"/>
    </row>
    <row r="123" spans="1:10" ht="22.8" customHeight="1" x14ac:dyDescent="0.45">
      <c r="B123" s="299"/>
      <c r="C123" s="300"/>
      <c r="D123" s="301"/>
      <c r="E123" s="267" t="s">
        <v>359</v>
      </c>
      <c r="F123" s="268">
        <v>0.625</v>
      </c>
      <c r="G123" s="269"/>
      <c r="H123" s="270"/>
      <c r="I123" s="271"/>
      <c r="J123" s="272"/>
    </row>
    <row r="124" spans="1:10" ht="22.8" customHeight="1" thickBot="1" x14ac:dyDescent="0.5">
      <c r="B124" s="299"/>
      <c r="C124" s="300"/>
      <c r="D124" s="301"/>
      <c r="E124" s="273" t="s">
        <v>360</v>
      </c>
      <c r="F124" s="274">
        <v>0.66666666666666663</v>
      </c>
      <c r="G124" s="275"/>
      <c r="H124" s="276"/>
      <c r="I124" s="277"/>
      <c r="J124" s="272"/>
    </row>
    <row r="125" spans="1:10" ht="22.8" customHeight="1" thickTop="1" x14ac:dyDescent="0.45">
      <c r="B125" s="299"/>
      <c r="C125" s="300"/>
      <c r="D125" s="301"/>
      <c r="E125" s="278" t="s">
        <v>358</v>
      </c>
      <c r="F125" s="279">
        <v>0.72916666666666663</v>
      </c>
      <c r="G125" s="280"/>
      <c r="H125" s="281"/>
      <c r="I125" s="282"/>
      <c r="J125" s="283"/>
    </row>
    <row r="126" spans="1:10" ht="22.8" customHeight="1" x14ac:dyDescent="0.45">
      <c r="B126" s="299"/>
      <c r="C126" s="300"/>
      <c r="D126" s="301"/>
      <c r="E126" s="267" t="s">
        <v>361</v>
      </c>
      <c r="F126" s="268">
        <v>0.81770833333333337</v>
      </c>
      <c r="G126" s="269"/>
      <c r="H126" s="270"/>
      <c r="I126" s="271"/>
      <c r="J126" s="272"/>
    </row>
    <row r="127" spans="1:10" ht="22.8" customHeight="1" x14ac:dyDescent="0.45">
      <c r="B127" s="299"/>
      <c r="C127" s="300"/>
      <c r="D127" s="301"/>
      <c r="E127" s="267" t="s">
        <v>359</v>
      </c>
      <c r="F127" s="268">
        <v>0.86458333333333337</v>
      </c>
      <c r="G127" s="269"/>
      <c r="H127" s="270"/>
      <c r="I127" s="271"/>
      <c r="J127" s="272"/>
    </row>
    <row r="128" spans="1:10" ht="22.8" customHeight="1" thickBot="1" x14ac:dyDescent="0.5">
      <c r="B128" s="302"/>
      <c r="C128" s="303"/>
      <c r="D128" s="304"/>
      <c r="E128" s="284" t="s">
        <v>360</v>
      </c>
      <c r="F128" s="285">
        <v>0.90625</v>
      </c>
      <c r="G128" s="286"/>
      <c r="H128" s="287"/>
      <c r="I128" s="288"/>
      <c r="J128" s="289"/>
    </row>
    <row r="129" spans="1:10" ht="22.8" customHeight="1" thickTop="1" x14ac:dyDescent="0.45">
      <c r="A129" s="1">
        <v>1</v>
      </c>
      <c r="B129" s="290" t="s">
        <v>262</v>
      </c>
      <c r="C129" s="291" t="s">
        <v>263</v>
      </c>
      <c r="D129" s="292" t="s">
        <v>346</v>
      </c>
      <c r="E129" s="293" t="s">
        <v>358</v>
      </c>
      <c r="F129" s="294">
        <v>0.375</v>
      </c>
      <c r="G129" s="295"/>
      <c r="H129" s="296"/>
      <c r="I129" s="297"/>
      <c r="J129" s="298"/>
    </row>
    <row r="130" spans="1:10" ht="22.8" customHeight="1" x14ac:dyDescent="0.45">
      <c r="B130" s="299"/>
      <c r="C130" s="300"/>
      <c r="D130" s="301"/>
      <c r="E130" s="267" t="s">
        <v>361</v>
      </c>
      <c r="F130" s="268">
        <v>0.5</v>
      </c>
      <c r="G130" s="269"/>
      <c r="H130" s="270"/>
      <c r="I130" s="271"/>
      <c r="J130" s="272"/>
    </row>
    <row r="131" spans="1:10" ht="22.8" customHeight="1" x14ac:dyDescent="0.45">
      <c r="B131" s="299"/>
      <c r="C131" s="300"/>
      <c r="D131" s="301"/>
      <c r="E131" s="267" t="s">
        <v>359</v>
      </c>
      <c r="F131" s="268">
        <v>0.58333333333333337</v>
      </c>
      <c r="G131" s="269"/>
      <c r="H131" s="270"/>
      <c r="I131" s="271"/>
      <c r="J131" s="272"/>
    </row>
    <row r="132" spans="1:10" ht="22.8" customHeight="1" thickBot="1" x14ac:dyDescent="0.5">
      <c r="B132" s="299"/>
      <c r="C132" s="300"/>
      <c r="D132" s="301"/>
      <c r="E132" s="273" t="s">
        <v>360</v>
      </c>
      <c r="F132" s="274">
        <v>0.625</v>
      </c>
      <c r="G132" s="275"/>
      <c r="H132" s="276"/>
      <c r="I132" s="277"/>
      <c r="J132" s="272"/>
    </row>
    <row r="133" spans="1:10" ht="22.8" customHeight="1" thickTop="1" x14ac:dyDescent="0.45">
      <c r="B133" s="299"/>
      <c r="C133" s="300"/>
      <c r="D133" s="301"/>
      <c r="E133" s="278" t="s">
        <v>358</v>
      </c>
      <c r="F133" s="279">
        <v>0.6875</v>
      </c>
      <c r="G133" s="280"/>
      <c r="H133" s="281"/>
      <c r="I133" s="282"/>
      <c r="J133" s="283"/>
    </row>
    <row r="134" spans="1:10" ht="22.8" customHeight="1" x14ac:dyDescent="0.45">
      <c r="B134" s="299"/>
      <c r="C134" s="300"/>
      <c r="D134" s="301"/>
      <c r="E134" s="267" t="s">
        <v>361</v>
      </c>
      <c r="F134" s="268">
        <v>0.78645833333333337</v>
      </c>
      <c r="G134" s="269"/>
      <c r="H134" s="270"/>
      <c r="I134" s="271"/>
      <c r="J134" s="272"/>
    </row>
    <row r="135" spans="1:10" ht="22.8" customHeight="1" x14ac:dyDescent="0.45">
      <c r="B135" s="299"/>
      <c r="C135" s="300"/>
      <c r="D135" s="301"/>
      <c r="E135" s="267" t="s">
        <v>359</v>
      </c>
      <c r="F135" s="268">
        <v>0.84375</v>
      </c>
      <c r="G135" s="269"/>
      <c r="H135" s="270"/>
      <c r="I135" s="271"/>
      <c r="J135" s="272"/>
    </row>
    <row r="136" spans="1:10" ht="22.8" customHeight="1" thickBot="1" x14ac:dyDescent="0.5">
      <c r="B136" s="302"/>
      <c r="C136" s="303"/>
      <c r="D136" s="304"/>
      <c r="E136" s="284" t="s">
        <v>360</v>
      </c>
      <c r="F136" s="285">
        <v>0.88541666666666663</v>
      </c>
      <c r="G136" s="286"/>
      <c r="H136" s="287"/>
      <c r="I136" s="288"/>
      <c r="J136" s="289"/>
    </row>
    <row r="137" spans="1:10" ht="22.8" customHeight="1" thickTop="1" x14ac:dyDescent="0.45">
      <c r="A137" s="1">
        <v>1</v>
      </c>
      <c r="B137" s="290" t="s">
        <v>289</v>
      </c>
      <c r="C137" s="291" t="s">
        <v>290</v>
      </c>
      <c r="D137" s="292" t="s">
        <v>348</v>
      </c>
      <c r="E137" s="293" t="s">
        <v>358</v>
      </c>
      <c r="F137" s="294">
        <v>0.41666666666666669</v>
      </c>
      <c r="G137" s="295"/>
      <c r="H137" s="296"/>
      <c r="I137" s="297"/>
      <c r="J137" s="298"/>
    </row>
    <row r="138" spans="1:10" ht="22.8" customHeight="1" x14ac:dyDescent="0.45">
      <c r="B138" s="299"/>
      <c r="C138" s="300"/>
      <c r="D138" s="301"/>
      <c r="E138" s="267" t="s">
        <v>359</v>
      </c>
      <c r="F138" s="268">
        <v>0.49305555555555558</v>
      </c>
      <c r="G138" s="269"/>
      <c r="H138" s="270"/>
      <c r="I138" s="271"/>
      <c r="J138" s="272"/>
    </row>
    <row r="139" spans="1:10" ht="22.8" customHeight="1" thickBot="1" x14ac:dyDescent="0.5">
      <c r="B139" s="302"/>
      <c r="C139" s="303"/>
      <c r="D139" s="304"/>
      <c r="E139" s="284" t="s">
        <v>360</v>
      </c>
      <c r="F139" s="285">
        <v>0.53472222222222221</v>
      </c>
      <c r="G139" s="286"/>
      <c r="H139" s="287"/>
      <c r="I139" s="288"/>
      <c r="J139" s="289"/>
    </row>
    <row r="140" spans="1:10" ht="13.8" thickTop="1" x14ac:dyDescent="0.45"/>
  </sheetData>
  <autoFilter ref="A3:K3">
    <filterColumn colId="1" showButton="0"/>
    <filterColumn colId="4" showButton="0"/>
  </autoFilter>
  <mergeCells count="61">
    <mergeCell ref="B129:B136"/>
    <mergeCell ref="C129:C136"/>
    <mergeCell ref="D129:D136"/>
    <mergeCell ref="B137:B139"/>
    <mergeCell ref="C137:C139"/>
    <mergeCell ref="D137:D139"/>
    <mergeCell ref="B109:B118"/>
    <mergeCell ref="C109:C118"/>
    <mergeCell ref="D109:D118"/>
    <mergeCell ref="B119:B128"/>
    <mergeCell ref="C119:C128"/>
    <mergeCell ref="D119:D128"/>
    <mergeCell ref="B95:B101"/>
    <mergeCell ref="C95:C101"/>
    <mergeCell ref="D95:D101"/>
    <mergeCell ref="B102:B108"/>
    <mergeCell ref="C102:C108"/>
    <mergeCell ref="D102:D108"/>
    <mergeCell ref="B88:B91"/>
    <mergeCell ref="C88:C91"/>
    <mergeCell ref="D88:D91"/>
    <mergeCell ref="B92:B94"/>
    <mergeCell ref="C92:C94"/>
    <mergeCell ref="D92:D94"/>
    <mergeCell ref="B64:B71"/>
    <mergeCell ref="C64:C71"/>
    <mergeCell ref="D64:D71"/>
    <mergeCell ref="B72:B87"/>
    <mergeCell ref="C72:C87"/>
    <mergeCell ref="D72:D87"/>
    <mergeCell ref="B42:B52"/>
    <mergeCell ref="C42:C52"/>
    <mergeCell ref="D42:D52"/>
    <mergeCell ref="B53:B63"/>
    <mergeCell ref="C53:C63"/>
    <mergeCell ref="D53:D63"/>
    <mergeCell ref="B32:B37"/>
    <mergeCell ref="C32:C37"/>
    <mergeCell ref="D32:D37"/>
    <mergeCell ref="B38:B41"/>
    <mergeCell ref="C38:C41"/>
    <mergeCell ref="D38:D41"/>
    <mergeCell ref="B18:B25"/>
    <mergeCell ref="C18:C25"/>
    <mergeCell ref="D18:D25"/>
    <mergeCell ref="B26:B31"/>
    <mergeCell ref="C26:C31"/>
    <mergeCell ref="D26:D31"/>
    <mergeCell ref="J2:J3"/>
    <mergeCell ref="B4:B9"/>
    <mergeCell ref="C4:C9"/>
    <mergeCell ref="D4:D9"/>
    <mergeCell ref="B10:B17"/>
    <mergeCell ref="C10:C17"/>
    <mergeCell ref="D10:D17"/>
    <mergeCell ref="A2:A3"/>
    <mergeCell ref="B2:C3"/>
    <mergeCell ref="D2:D3"/>
    <mergeCell ref="E2:F3"/>
    <mergeCell ref="G2:G3"/>
    <mergeCell ref="H2:I2"/>
  </mergeCells>
  <phoneticPr fontId="2"/>
  <conditionalFormatting sqref="F1:F1048576">
    <cfRule type="expression" dxfId="2" priority="2">
      <formula>AND($F1&lt;&gt;"",TEXT($F1,"hh:mm")&lt;=TEXT(NOW(),"hh:mm"),$G1="",$H1="",$I1="")</formula>
    </cfRule>
  </conditionalFormatting>
  <conditionalFormatting sqref="E1:I1048576">
    <cfRule type="expression" dxfId="1" priority="3">
      <formula>$E1="End time"</formula>
    </cfRule>
  </conditionalFormatting>
  <conditionalFormatting sqref="E1:E1048576">
    <cfRule type="expression" dxfId="0" priority="1">
      <formula>$E1="End time"</formula>
    </cfRule>
  </conditionalFormatting>
  <printOptions horizontalCentered="1"/>
  <pageMargins left="0.36" right="0.36" top="0.33" bottom="0.23" header="0.3" footer="0.3"/>
  <pageSetup paperSize="9" scale="71" fitToHeight="0" orientation="portrait" r:id="rId1"/>
  <headerFooter>
    <oddFooter>&amp;R&amp;P/&amp;N</oddFooter>
  </headerFooter>
  <rowBreaks count="1" manualBreakCount="1">
    <brk id="42" min="1" max="9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</vt:i4>
      </vt:variant>
    </vt:vector>
  </HeadingPairs>
  <TitlesOfParts>
    <vt:vector size="13" baseType="lpstr">
      <vt:lpstr>フォーマット</vt:lpstr>
      <vt:lpstr>ピボット用データ</vt:lpstr>
      <vt:lpstr>ピボット</vt:lpstr>
      <vt:lpstr>ピボット貼付</vt:lpstr>
      <vt:lpstr>0828</vt:lpstr>
      <vt:lpstr>'0828'!Print_Area</vt:lpstr>
      <vt:lpstr>ピボット用データ!Print_Area</vt:lpstr>
      <vt:lpstr>フォーマット!Print_Area</vt:lpstr>
      <vt:lpstr>'0828'!Print_Titles</vt:lpstr>
      <vt:lpstr>ピボット用データ!Print_Titles</vt:lpstr>
      <vt:lpstr>フォーマット!Print_Titles</vt:lpstr>
      <vt:lpstr>ピボット貼付!シート名</vt:lpstr>
      <vt:lpstr>ピボット貼付!日付</vt:lpstr>
    </vt:vector>
  </TitlesOfParts>
  <Company>Tokyo2020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2021-09-08T08:01:33Z</dcterms:created>
  <dcterms:modified xsi:type="dcterms:W3CDTF">2021-09-08T08:03:55Z</dcterms:modified>
</cp:coreProperties>
</file>